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AC2402DB-13F2-4999-86DB-5EA0DDA8F1C2}" xr6:coauthVersionLast="47" xr6:coauthVersionMax="47" xr10:uidLastSave="{00000000-0000-0000-0000-000000000000}"/>
  <bookViews>
    <workbookView xWindow="-108" yWindow="-108" windowWidth="23256" windowHeight="12456" activeTab="2" xr2:uid="{62951537-F3BF-46E2-B325-7443922A953D}"/>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1" i="3" l="1"/>
  <c r="U32" i="3"/>
  <c r="U33" i="3"/>
  <c r="U34" i="3"/>
  <c r="U35" i="3"/>
  <c r="U36" i="3"/>
  <c r="U37" i="3"/>
  <c r="U38" i="3"/>
  <c r="U39" i="3"/>
  <c r="U40" i="3"/>
  <c r="U41" i="3"/>
  <c r="U42" i="3"/>
  <c r="U43" i="3"/>
  <c r="V34" i="3"/>
  <c r="V36" i="3"/>
  <c r="V38" i="3"/>
  <c r="U30" i="3"/>
  <c r="V30" i="3"/>
  <c r="Q11" i="3"/>
  <c r="X7" i="3"/>
  <c r="X9" i="3" s="1"/>
  <c r="X31" i="3"/>
  <c r="W33" i="3"/>
  <c r="W34" i="3" s="1"/>
  <c r="W30" i="3"/>
  <c r="W31" i="3"/>
  <c r="W32" i="3" s="1"/>
  <c r="Q6" i="3"/>
  <c r="G13" i="2"/>
  <c r="F13" i="2"/>
  <c r="F38" i="3"/>
  <c r="F39" i="3"/>
  <c r="F40" i="3"/>
  <c r="F41" i="3"/>
  <c r="F42" i="3"/>
  <c r="F43" i="3"/>
  <c r="F37" i="3"/>
  <c r="W35" i="3" l="1"/>
  <c r="X34" i="3"/>
  <c r="V40" i="3"/>
  <c r="X33" i="3"/>
  <c r="V42" i="3"/>
  <c r="X32" i="3"/>
  <c r="Y32" i="3" s="1"/>
  <c r="R14" i="3" s="1"/>
  <c r="V32" i="3"/>
  <c r="X30" i="3"/>
  <c r="Y30" i="3" s="1"/>
  <c r="Q14" i="3" s="1"/>
  <c r="H13" i="2"/>
  <c r="H15" i="2"/>
  <c r="Q7" i="3"/>
  <c r="J12" i="3"/>
  <c r="Q13" i="3"/>
  <c r="R10" i="3"/>
  <c r="S10" i="3" s="1"/>
  <c r="L15" i="2"/>
  <c r="K15" i="2"/>
  <c r="J15" i="2"/>
  <c r="I15" i="2"/>
  <c r="G15" i="2"/>
  <c r="L13" i="2"/>
  <c r="K13" i="2"/>
  <c r="J13" i="2"/>
  <c r="I13" i="2"/>
  <c r="R21" i="3"/>
  <c r="S21" i="3"/>
  <c r="T21" i="3"/>
  <c r="U21" i="3"/>
  <c r="V21" i="3"/>
  <c r="W21" i="3"/>
  <c r="Q21" i="3"/>
  <c r="R6" i="3"/>
  <c r="F30" i="3"/>
  <c r="F29" i="3"/>
  <c r="F25" i="3"/>
  <c r="F26" i="3"/>
  <c r="F24" i="3"/>
  <c r="F21" i="3"/>
  <c r="F22" i="3" s="1"/>
  <c r="F15" i="3"/>
  <c r="F16" i="3"/>
  <c r="F17" i="3"/>
  <c r="F18" i="3"/>
  <c r="F14" i="3"/>
  <c r="F7" i="3"/>
  <c r="F8" i="3"/>
  <c r="F9" i="3"/>
  <c r="F10" i="3"/>
  <c r="F11" i="3"/>
  <c r="F6" i="3"/>
  <c r="J31" i="3"/>
  <c r="K31" i="3"/>
  <c r="L31" i="3"/>
  <c r="M31" i="3"/>
  <c r="N31" i="3"/>
  <c r="J27" i="3"/>
  <c r="K27" i="3"/>
  <c r="L27" i="3"/>
  <c r="M27" i="3"/>
  <c r="N27" i="3"/>
  <c r="J22" i="3"/>
  <c r="K22" i="3"/>
  <c r="L22" i="3"/>
  <c r="M22" i="3"/>
  <c r="N22" i="3"/>
  <c r="J19" i="3"/>
  <c r="K19" i="3"/>
  <c r="L19" i="3"/>
  <c r="M19" i="3"/>
  <c r="N19" i="3"/>
  <c r="I30" i="3"/>
  <c r="I29" i="3"/>
  <c r="I25" i="3"/>
  <c r="I26" i="3"/>
  <c r="I24" i="3"/>
  <c r="I21" i="3"/>
  <c r="I22" i="3" s="1"/>
  <c r="I15" i="3"/>
  <c r="I16" i="3"/>
  <c r="I17" i="3"/>
  <c r="I18" i="3"/>
  <c r="I14" i="3"/>
  <c r="I9" i="3"/>
  <c r="I7" i="3"/>
  <c r="I8" i="3"/>
  <c r="I10" i="3"/>
  <c r="I11" i="3"/>
  <c r="I6" i="3"/>
  <c r="E26" i="3"/>
  <c r="E29" i="3"/>
  <c r="E25" i="3"/>
  <c r="E24" i="3"/>
  <c r="E21" i="3"/>
  <c r="E22" i="3" s="1"/>
  <c r="E15" i="3"/>
  <c r="E16" i="3"/>
  <c r="E17" i="3"/>
  <c r="E18" i="3"/>
  <c r="E14" i="3"/>
  <c r="E7" i="3"/>
  <c r="E8" i="3"/>
  <c r="E10" i="3"/>
  <c r="E11" i="3"/>
  <c r="E6" i="3"/>
  <c r="E4" i="2"/>
  <c r="D4" i="2" s="1"/>
  <c r="F4" i="2" s="1"/>
  <c r="F6" i="2" s="1"/>
  <c r="D6" i="1"/>
  <c r="E6" i="1" s="1"/>
  <c r="E23" i="1"/>
  <c r="E10" i="2"/>
  <c r="D10" i="2" s="1"/>
  <c r="G10" i="2" s="1"/>
  <c r="H10" i="2" s="1"/>
  <c r="I10" i="2" s="1"/>
  <c r="J10" i="2" s="1"/>
  <c r="K10" i="2" s="1"/>
  <c r="L10" i="2" s="1"/>
  <c r="E9" i="2"/>
  <c r="D9" i="2" s="1"/>
  <c r="G5" i="2"/>
  <c r="H5" i="2" s="1"/>
  <c r="I5" i="2" s="1"/>
  <c r="J5" i="2" s="1"/>
  <c r="K5" i="2" s="1"/>
  <c r="L5" i="2" s="1"/>
  <c r="E35" i="1"/>
  <c r="E36" i="1"/>
  <c r="E37" i="1"/>
  <c r="E38" i="1"/>
  <c r="E39" i="1"/>
  <c r="E34" i="1"/>
  <c r="B6" i="2"/>
  <c r="E5" i="2"/>
  <c r="D5" i="2" s="1"/>
  <c r="E28" i="1"/>
  <c r="E25" i="1"/>
  <c r="E24" i="1"/>
  <c r="E20" i="1"/>
  <c r="E19" i="1"/>
  <c r="E14" i="1"/>
  <c r="E17" i="1" s="1"/>
  <c r="E5" i="1"/>
  <c r="E7" i="1"/>
  <c r="E8" i="1"/>
  <c r="E9" i="1"/>
  <c r="E4" i="1"/>
  <c r="X35" i="3" l="1"/>
  <c r="Y34" i="3" s="1"/>
  <c r="S14" i="3" s="1"/>
  <c r="W36" i="3"/>
  <c r="R7" i="3"/>
  <c r="S7" i="3" s="1"/>
  <c r="F31" i="3"/>
  <c r="I27" i="3"/>
  <c r="Q9" i="3"/>
  <c r="F27" i="3"/>
  <c r="I12" i="3"/>
  <c r="S6" i="3"/>
  <c r="R9" i="3"/>
  <c r="R18" i="3" s="1"/>
  <c r="I31" i="3"/>
  <c r="R13" i="3"/>
  <c r="T10" i="3"/>
  <c r="S13" i="3"/>
  <c r="F19" i="3"/>
  <c r="J32" i="3"/>
  <c r="B39" i="3" s="1"/>
  <c r="F12" i="3"/>
  <c r="F32" i="3" s="1"/>
  <c r="B37" i="3" s="1"/>
  <c r="I19" i="3"/>
  <c r="E19" i="3"/>
  <c r="E12" i="3"/>
  <c r="E27" i="3"/>
  <c r="F11" i="2"/>
  <c r="F12" i="2" s="1"/>
  <c r="G9" i="2"/>
  <c r="H9" i="2" s="1"/>
  <c r="I9" i="2" s="1"/>
  <c r="J9" i="2" s="1"/>
  <c r="K9" i="2" s="1"/>
  <c r="E40" i="1"/>
  <c r="G4" i="2"/>
  <c r="F7" i="2"/>
  <c r="E26" i="1"/>
  <c r="E21" i="1"/>
  <c r="E10" i="1"/>
  <c r="E29" i="1" s="1"/>
  <c r="Q22" i="3" l="1"/>
  <c r="C37" i="3" s="1"/>
  <c r="Q18" i="3"/>
  <c r="T7" i="3"/>
  <c r="U7" i="3" s="1"/>
  <c r="V7" i="3" s="1"/>
  <c r="W7" i="3" s="1"/>
  <c r="W37" i="3"/>
  <c r="X36" i="3"/>
  <c r="I32" i="3"/>
  <c r="B38" i="3" s="1"/>
  <c r="K12" i="3"/>
  <c r="K32" i="3" s="1"/>
  <c r="B40" i="3" s="1"/>
  <c r="R22" i="3"/>
  <c r="T6" i="3"/>
  <c r="S9" i="3"/>
  <c r="U10" i="3"/>
  <c r="T13" i="3"/>
  <c r="E30" i="3"/>
  <c r="E31" i="3" s="1"/>
  <c r="E32" i="3" s="1"/>
  <c r="G6" i="2"/>
  <c r="H4" i="2"/>
  <c r="H6" i="2" s="1"/>
  <c r="H12" i="2" s="1"/>
  <c r="G7" i="2"/>
  <c r="H11" i="2"/>
  <c r="I11" i="2"/>
  <c r="G11" i="2"/>
  <c r="L9" i="2"/>
  <c r="L11" i="2" s="1"/>
  <c r="B44" i="1"/>
  <c r="B45" i="1" s="1"/>
  <c r="B46" i="1" s="1"/>
  <c r="B47" i="1" s="1"/>
  <c r="K11" i="2"/>
  <c r="J11" i="2"/>
  <c r="E30" i="1"/>
  <c r="E31" i="1" s="1"/>
  <c r="B43" i="1" s="1"/>
  <c r="X37" i="3" l="1"/>
  <c r="Y36" i="3" s="1"/>
  <c r="T14" i="3" s="1"/>
  <c r="W38" i="3"/>
  <c r="S22" i="3"/>
  <c r="S18" i="3"/>
  <c r="F33" i="3"/>
  <c r="C35" i="3"/>
  <c r="H36" i="3" s="1"/>
  <c r="C38" i="3"/>
  <c r="D38" i="3" s="1"/>
  <c r="C39" i="3"/>
  <c r="D39" i="3" s="1"/>
  <c r="D37" i="3"/>
  <c r="H37" i="3" s="1"/>
  <c r="L12" i="3"/>
  <c r="L32" i="3" s="1"/>
  <c r="B41" i="3" s="1"/>
  <c r="U6" i="3"/>
  <c r="T9" i="3"/>
  <c r="T18" i="3" s="1"/>
  <c r="V10" i="3"/>
  <c r="U13" i="3"/>
  <c r="G12" i="2"/>
  <c r="I4" i="2"/>
  <c r="I6" i="2" s="1"/>
  <c r="I12" i="2" s="1"/>
  <c r="H7" i="2"/>
  <c r="X38" i="3" l="1"/>
  <c r="W39" i="3"/>
  <c r="T22" i="3"/>
  <c r="C40" i="3" s="1"/>
  <c r="D40" i="3" s="1"/>
  <c r="G39" i="3"/>
  <c r="H39" i="3"/>
  <c r="G38" i="3"/>
  <c r="H38" i="3"/>
  <c r="G37" i="3"/>
  <c r="E37" i="3"/>
  <c r="E38" i="3" s="1"/>
  <c r="E39" i="3" s="1"/>
  <c r="N12" i="3"/>
  <c r="N32" i="3" s="1"/>
  <c r="B43" i="3" s="1"/>
  <c r="M12" i="3"/>
  <c r="M32" i="3" s="1"/>
  <c r="V6" i="3"/>
  <c r="U9" i="3"/>
  <c r="U18" i="3" s="1"/>
  <c r="W10" i="3"/>
  <c r="W13" i="3" s="1"/>
  <c r="V13" i="3"/>
  <c r="J4" i="2"/>
  <c r="J6" i="2" s="1"/>
  <c r="J12" i="2" s="1"/>
  <c r="G20" i="2"/>
  <c r="X39" i="3" l="1"/>
  <c r="Y38" i="3" s="1"/>
  <c r="U14" i="3" s="1"/>
  <c r="W40" i="3"/>
  <c r="U22" i="3"/>
  <c r="C41" i="3" s="1"/>
  <c r="D41" i="3" s="1"/>
  <c r="G40" i="3"/>
  <c r="H40" i="3"/>
  <c r="E40" i="3"/>
  <c r="B42" i="3"/>
  <c r="W6" i="3"/>
  <c r="W9" i="3" s="1"/>
  <c r="W18" i="3" s="1"/>
  <c r="V9" i="3"/>
  <c r="V18" i="3" s="1"/>
  <c r="K4" i="2"/>
  <c r="K6" i="2" s="1"/>
  <c r="K12" i="2" s="1"/>
  <c r="I20" i="2"/>
  <c r="H20" i="2"/>
  <c r="I7" i="2"/>
  <c r="W41" i="3" l="1"/>
  <c r="X40" i="3"/>
  <c r="G41" i="3"/>
  <c r="H41" i="3"/>
  <c r="E41" i="3"/>
  <c r="L4" i="2"/>
  <c r="L6" i="2" s="1"/>
  <c r="L12" i="2" s="1"/>
  <c r="J7" i="2"/>
  <c r="K7" i="2"/>
  <c r="W42" i="3" l="1"/>
  <c r="X41" i="3"/>
  <c r="Y40" i="3" s="1"/>
  <c r="V14" i="3" s="1"/>
  <c r="V22" i="3" s="1"/>
  <c r="C42" i="3" s="1"/>
  <c r="D42" i="3" s="1"/>
  <c r="K40" i="3" s="1"/>
  <c r="G42" i="3"/>
  <c r="H42" i="3"/>
  <c r="E42" i="3"/>
  <c r="J20" i="2"/>
  <c r="X42" i="3" l="1"/>
  <c r="W43" i="3"/>
  <c r="X43" i="3" s="1"/>
  <c r="Y42" i="3" s="1"/>
  <c r="W14" i="3" s="1"/>
  <c r="W22" i="3" s="1"/>
  <c r="C43" i="3" s="1"/>
  <c r="D43" i="3" s="1"/>
  <c r="L20" i="2"/>
  <c r="L7" i="2"/>
  <c r="K20" i="2"/>
  <c r="F15" i="2"/>
  <c r="F16" i="2" s="1"/>
  <c r="G43" i="3" l="1"/>
  <c r="K38" i="3" s="1"/>
  <c r="H43" i="3"/>
  <c r="K39" i="3" s="1"/>
  <c r="L38" i="3"/>
  <c r="E43" i="3"/>
  <c r="K37" i="3" s="1"/>
  <c r="F20" i="2"/>
  <c r="F17" i="2" s="1"/>
</calcChain>
</file>

<file path=xl/sharedStrings.xml><?xml version="1.0" encoding="utf-8"?>
<sst xmlns="http://schemas.openxmlformats.org/spreadsheetml/2006/main" count="194" uniqueCount="155">
  <si>
    <t>Dự trù kinh phí</t>
  </si>
  <si>
    <t>Hạng mục</t>
  </si>
  <si>
    <t>mô tả</t>
  </si>
  <si>
    <t>số lượng</t>
  </si>
  <si>
    <t>thành tiền</t>
  </si>
  <si>
    <t>nguồn tham khảo</t>
  </si>
  <si>
    <t>1.Nhân sự</t>
  </si>
  <si>
    <t xml:space="preserve">Quản lý dự án </t>
  </si>
  <si>
    <t>Lập trình viên (mảng game)</t>
  </si>
  <si>
    <t>Tổng chi phí nhân sự</t>
  </si>
  <si>
    <t>Unity 3D</t>
  </si>
  <si>
    <t>Blender</t>
  </si>
  <si>
    <t>Firebase/Firestore</t>
  </si>
  <si>
    <t>GitHub</t>
  </si>
  <si>
    <t>2.Công cụ</t>
  </si>
  <si>
    <t>Tổng chi phí công cụ</t>
  </si>
  <si>
    <t>3.Phần cứng và cơ sở hạ tầng</t>
  </si>
  <si>
    <t>Máy chủ cloud</t>
  </si>
  <si>
    <t>thiết bị VR</t>
  </si>
  <si>
    <t>Tổng chi phí phần cứng</t>
  </si>
  <si>
    <t>4.Marketing và thử nghiệm</t>
  </si>
  <si>
    <t>Thử nghiệm alpha</t>
  </si>
  <si>
    <t>Thử nghiệm beta</t>
  </si>
  <si>
    <t>chi phí marketing</t>
  </si>
  <si>
    <t>Tổng chi phí marketing và thử nghiệm</t>
  </si>
  <si>
    <t>5. chi phí khác</t>
  </si>
  <si>
    <t xml:space="preserve">dự phòng </t>
  </si>
  <si>
    <t>Tổng chi phí khác</t>
  </si>
  <si>
    <t>Tổng chi phí</t>
  </si>
  <si>
    <t>Lương</t>
  </si>
  <si>
    <t>phí tư vấn</t>
  </si>
  <si>
    <t>lương</t>
  </si>
  <si>
    <t>phí thuê ngoài</t>
  </si>
  <si>
    <t>bản Personal</t>
  </si>
  <si>
    <t>miễn phí</t>
  </si>
  <si>
    <t>thuê cloud server</t>
  </si>
  <si>
    <t>mua</t>
  </si>
  <si>
    <t>hỗ trợ hộ nuôi</t>
  </si>
  <si>
    <t>Quảng cáo, sự kiện</t>
  </si>
  <si>
    <t>10% tổng chi phí</t>
  </si>
  <si>
    <t>dự kiến</t>
  </si>
  <si>
    <t>https://www.vietnamworks.com/muc-luong/quan-ly-du-an-cong-nghe-sk</t>
  </si>
  <si>
    <t>https://www.vietnamworks.com/muc-luong/game-developer-sk</t>
  </si>
  <si>
    <t>https://duydutoan.com/bang-tinh-luong-chuyen-gia-tu-van.html</t>
  </si>
  <si>
    <t>https://www.vietnamworks.com/muc-luong/3d-designer-sk</t>
  </si>
  <si>
    <t>mức dùng (1TB)</t>
  </si>
  <si>
    <t>https://firebase.google.com/pricing</t>
  </si>
  <si>
    <t>https://vnptgroup.vn/bang-gia-thue-may-chu-ao-vnpt-smart-cloud/</t>
  </si>
  <si>
    <t>https://www.anphatpc.com.vn/kinh-thuc-te-ao-oculus-quest-2-vr-256gb_id34718.html</t>
  </si>
  <si>
    <t>hạng mục</t>
  </si>
  <si>
    <t>thời gian( tháng)</t>
  </si>
  <si>
    <t>lương tháng</t>
  </si>
  <si>
    <t>thời gian thử nghiệm</t>
  </si>
  <si>
    <t>Các khoản</t>
  </si>
  <si>
    <t>Giá trị hiện tại</t>
  </si>
  <si>
    <t>Hướng tăng/ giảm</t>
  </si>
  <si>
    <t>Ước tính</t>
  </si>
  <si>
    <t>dịch vụ KH và chuyển giao công nghệ</t>
  </si>
  <si>
    <t>chăn nuôi thú y (do gồm thú y thủy sản và nuôi trồng thủy sản)</t>
  </si>
  <si>
    <t>ngân sách (cả đề tài KHCN được giao)</t>
  </si>
  <si>
    <t>học phí</t>
  </si>
  <si>
    <t>Tăng</t>
  </si>
  <si>
    <t>Học phí ngành Thủy sản (ĐH)</t>
  </si>
  <si>
    <t>Giảm</t>
  </si>
  <si>
    <t>Tổng sau khi giảm</t>
  </si>
  <si>
    <t>đơn giá( triệu)</t>
  </si>
  <si>
    <t>Tổng doanh thu thay đổi sau khi ứng dụng(Ngành)</t>
  </si>
  <si>
    <t xml:space="preserve">Tổng chi phí dự án </t>
  </si>
  <si>
    <t>Năm 1</t>
  </si>
  <si>
    <t>Năm 2</t>
  </si>
  <si>
    <t>Năm 3</t>
  </si>
  <si>
    <t>Năm 4</t>
  </si>
  <si>
    <t>Năm 5</t>
  </si>
  <si>
    <t>Năm 0</t>
  </si>
  <si>
    <t>Tổng doanh thu dự án tạo ra thêm( so với năm trước)</t>
  </si>
  <si>
    <t>Chi phí vận hành sau dự án</t>
  </si>
  <si>
    <t>Chi phí</t>
  </si>
  <si>
    <t>Chi phí dự án( tổng quát)</t>
  </si>
  <si>
    <t>Năm</t>
  </si>
  <si>
    <t>Tổng chi phí vận hành</t>
  </si>
  <si>
    <t>Lợi nhuận đem lại</t>
  </si>
  <si>
    <t>giảm thử nghiệm thực tế, sử dựng môi trường mô phỏng ảo, giúp giảm 10-15% phí ( ít hơn sinh viên 1 phần vì có những đề tài chuyên sâu khó mô phỏng ngay được, dự tính tăng thêm 8% mỗi năm)</t>
  </si>
  <si>
    <t>Giảm chi phí thuê ao mẫu/ vật tư giảm 30% chi phí , dự tính giảm thêm 5% mỗi năm</t>
  </si>
  <si>
    <t>hỗ trợ nghiên cứu, giảm chi phí thực địa (giảm 20% chi phí, dự tính giảm thêm 5% mỗi năm)</t>
  </si>
  <si>
    <t>ROI</t>
  </si>
  <si>
    <t>NPV( giả định 10%)</t>
  </si>
  <si>
    <t>lợi nhuận</t>
  </si>
  <si>
    <t>Kỹ sư AIhttps://www.vietnamworks.com/muc-luong/ai-engineer-sk    Kỹ sư dữ liệu:https://www.vietnamworks.com/muc-luong/data-engineer-sk?c=2</t>
  </si>
  <si>
    <t>Thời gian tham khảo</t>
  </si>
  <si>
    <t>thiết kế đồ họa 3D</t>
  </si>
  <si>
    <t>Kịch bản</t>
  </si>
  <si>
    <t>https://www.vietnamworks.com/muc-luong/game-designer-sk?c=2</t>
  </si>
  <si>
    <t>Năm6</t>
  </si>
  <si>
    <t xml:space="preserve">dự án có lời </t>
  </si>
  <si>
    <t>&gt;0</t>
  </si>
  <si>
    <t xml:space="preserve"> python</t>
  </si>
  <si>
    <t>Văn phòng phẩm( giấy tờ, bằng sáng chế) và đi lại</t>
  </si>
  <si>
    <t>giảng viên, sinh viên</t>
  </si>
  <si>
    <t xml:space="preserve">kỹ sư dữ liệu </t>
  </si>
  <si>
    <t>DA</t>
  </si>
  <si>
    <t>https://www.vietnamworks.com/muc-luong/data-analyst-sk?c=2</t>
  </si>
  <si>
    <t>kỹ sư dữ liệu (+5 vì bị dí dl)</t>
  </si>
  <si>
    <t>tăng học phi 5% nhờ số hóa</t>
  </si>
  <si>
    <t>Tổng tăng( tính sai)</t>
  </si>
  <si>
    <t>Kêu gọi đc 80 củ một năm từ các quỹ và doanh nghiệp</t>
  </si>
  <si>
    <t>Dòng tiền ra</t>
  </si>
  <si>
    <t>1. Nhân sự</t>
  </si>
  <si>
    <t>Lương/người/tháng</t>
  </si>
  <si>
    <t>2. Công cụ</t>
  </si>
  <si>
    <t>Python</t>
  </si>
  <si>
    <t>3. Phần cứng và cơ sở hạ tầng</t>
  </si>
  <si>
    <t>Tổng</t>
  </si>
  <si>
    <t>4. Marketing và thử nghiệm</t>
  </si>
  <si>
    <t>Marketing</t>
  </si>
  <si>
    <t>5. Chi phí khác</t>
  </si>
  <si>
    <t>Thiết kế đồ họa 3D</t>
  </si>
  <si>
    <t>Kỹ sư dữ liệu</t>
  </si>
  <si>
    <t>Chuyên gia thủy sản (1 tháng)</t>
  </si>
  <si>
    <t>Số lượng</t>
  </si>
  <si>
    <t>Thời gian làm</t>
  </si>
  <si>
    <t>Dự phòng (10% tổng chi phí)</t>
  </si>
  <si>
    <t>6. Tổng cộng</t>
  </si>
  <si>
    <t>DÒNG TIỀN HÀNG NĂM</t>
  </si>
  <si>
    <t>Thành tiền</t>
  </si>
  <si>
    <t>1,5 tháng vận hành</t>
  </si>
  <si>
    <t>Thời gian xây dựng</t>
  </si>
  <si>
    <t>Dòng tiền vào</t>
  </si>
  <si>
    <t>1. Học phí</t>
  </si>
  <si>
    <t>Số lượng sinh viên</t>
  </si>
  <si>
    <t>do thu hút sinh viên, tăng tuyển và nâng cấp chất lượng đào tạo. Tân sinh viên ngành năm nay có 180 sinh viên, ước tính hiện tại có 720 sinh viên, ước tính tăng khoảng 10 sinh viên mỗi năm( 6 tiến sĩ và 28 thạc sĩ tối đa được 1775 sinh viên)</t>
  </si>
  <si>
    <t>Học phí/sinh viên</t>
  </si>
  <si>
    <t>2. Kêu gọi đầu tư</t>
  </si>
  <si>
    <t>Số tiền/năm</t>
  </si>
  <si>
    <t xml:space="preserve">Tổng cộng </t>
  </si>
  <si>
    <t>Tổng dòng tiền vào</t>
  </si>
  <si>
    <t>Dòng tiền thuần</t>
  </si>
  <si>
    <t>Học phí khi không có dự án</t>
  </si>
  <si>
    <t>Số SV khi không có dự án</t>
  </si>
  <si>
    <t>Tổng cộng khi có dự án</t>
  </si>
  <si>
    <t>Tổng khi không có dự án</t>
  </si>
  <si>
    <t>Chênh lệch</t>
  </si>
  <si>
    <t>Tổng tiền năm 0</t>
  </si>
  <si>
    <t>NPV</t>
  </si>
  <si>
    <t>Cộng dồn dòng tiền</t>
  </si>
  <si>
    <t>IRR</t>
  </si>
  <si>
    <t>PP</t>
  </si>
  <si>
    <t xml:space="preserve">r </t>
  </si>
  <si>
    <t>Hệ số chiết khấu</t>
  </si>
  <si>
    <t>Vốn đầu tư</t>
  </si>
  <si>
    <t>Chi phí phát sinh</t>
  </si>
  <si>
    <t xml:space="preserve">   </t>
  </si>
  <si>
    <t>chuyên gia thủy sản (xuyên suốt quá trình)</t>
  </si>
  <si>
    <t>năm 1</t>
  </si>
  <si>
    <t>năm 0</t>
  </si>
  <si>
    <t>năm hiện thời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</si>
</sst>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64" formatCode="_([$VND]\ * #,##0.00_);_([$VND]\ * \(#,##0.00\);_([$VND]\ * &quot;-&quot;??_);_(@_)"/>
    <numFmt numFmtId="165" formatCode="#,##0.0"/>
    <numFmt numFmtId="166" formatCode="#,##0.000"/>
    <numFmt numFmtId="167" formatCode="#,##0.0000"/>
  </numFmts>
  <fonts count="9" x14ac:knownFonts="1">
    <font>
      <sz val="11"/>
      <color theme="1"/>
      <name val="Calibri"/>
      <family val="2"/>
      <scheme val="minor"/>
    </font>
    <font>
      <sz val="11"/>
      <color rgb="FFFF0000"/>
      <name val="Calibri"/>
      <family val="2"/>
      <scheme val="minor"/>
    </font>
    <font>
      <u/>
      <sz val="11"/>
      <color theme="10"/>
      <name val="Calibri"/>
      <family val="2"/>
      <scheme val="minor"/>
    </font>
    <font>
      <b/>
      <sz val="22"/>
      <color theme="1"/>
      <name val="Calibri"/>
      <family val="2"/>
      <scheme val="minor"/>
    </font>
    <font>
      <u/>
      <sz val="11"/>
      <color theme="1"/>
      <name val="Calibri"/>
      <family val="2"/>
      <scheme val="minor"/>
    </font>
    <font>
      <sz val="11"/>
      <color theme="0"/>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s>
  <fills count="13">
    <fill>
      <patternFill patternType="none"/>
    </fill>
    <fill>
      <patternFill patternType="gray125"/>
    </fill>
    <fill>
      <patternFill patternType="solid">
        <fgColor theme="2" tint="-0.249977111117893"/>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FF00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3"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12">
    <xf numFmtId="0" fontId="0" fillId="0" borderId="0" xfId="0"/>
    <xf numFmtId="0" fontId="0" fillId="0" borderId="1" xfId="0" applyBorder="1"/>
    <xf numFmtId="0" fontId="2" fillId="0" borderId="1" xfId="1" applyBorder="1"/>
    <xf numFmtId="0" fontId="0" fillId="2" borderId="1" xfId="0" applyFill="1" applyBorder="1"/>
    <xf numFmtId="0" fontId="0" fillId="3" borderId="1" xfId="0" applyFill="1" applyBorder="1"/>
    <xf numFmtId="0" fontId="0" fillId="4" borderId="1" xfId="0" applyFill="1" applyBorder="1"/>
    <xf numFmtId="0" fontId="1" fillId="4" borderId="1" xfId="0" applyFont="1" applyFill="1" applyBorder="1"/>
    <xf numFmtId="0" fontId="0" fillId="0" borderId="0" xfId="0" applyAlignment="1">
      <alignment horizontal="center"/>
    </xf>
    <xf numFmtId="0" fontId="0" fillId="0" borderId="1" xfId="0" applyBorder="1" applyAlignment="1">
      <alignment horizontal="center"/>
    </xf>
    <xf numFmtId="0" fontId="0" fillId="0" borderId="6" xfId="0" applyBorder="1"/>
    <xf numFmtId="0" fontId="4" fillId="0" borderId="1" xfId="0" applyFont="1" applyBorder="1"/>
    <xf numFmtId="14" fontId="0" fillId="0" borderId="0" xfId="0" applyNumberFormat="1"/>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7" borderId="0" xfId="0" applyFill="1" applyAlignment="1">
      <alignment vertical="center"/>
    </xf>
    <xf numFmtId="0" fontId="0" fillId="7" borderId="0" xfId="0" applyFill="1" applyAlignment="1">
      <alignment vertical="center" wrapText="1"/>
    </xf>
    <xf numFmtId="0" fontId="0" fillId="6" borderId="0" xfId="0" applyFill="1" applyAlignment="1">
      <alignment vertical="center"/>
    </xf>
    <xf numFmtId="0" fontId="0" fillId="6" borderId="0" xfId="0" applyFill="1" applyAlignment="1">
      <alignment vertical="center" wrapText="1"/>
    </xf>
    <xf numFmtId="0" fontId="0" fillId="3" borderId="0" xfId="0" applyFill="1" applyAlignment="1">
      <alignment vertical="center"/>
    </xf>
    <xf numFmtId="0" fontId="0" fillId="3" borderId="0" xfId="0" applyFill="1" applyAlignment="1">
      <alignment vertical="center" wrapText="1"/>
    </xf>
    <xf numFmtId="0" fontId="0" fillId="7" borderId="0" xfId="0" applyFill="1" applyAlignment="1">
      <alignment horizontal="left" vertical="center" wrapText="1"/>
    </xf>
    <xf numFmtId="164" fontId="0" fillId="7" borderId="0" xfId="0" applyNumberFormat="1" applyFill="1" applyAlignment="1">
      <alignment vertical="center"/>
    </xf>
    <xf numFmtId="8" fontId="0" fillId="7" borderId="0" xfId="0" applyNumberFormat="1" applyFill="1" applyAlignment="1">
      <alignment vertical="center"/>
    </xf>
    <xf numFmtId="4" fontId="0" fillId="0" borderId="0" xfId="0" applyNumberFormat="1" applyBorder="1" applyAlignment="1">
      <alignment vertical="center" wrapText="1"/>
    </xf>
    <xf numFmtId="4" fontId="0" fillId="0" borderId="0" xfId="0" applyNumberFormat="1" applyBorder="1" applyAlignment="1">
      <alignment vertical="center"/>
    </xf>
    <xf numFmtId="3" fontId="0" fillId="0" borderId="0" xfId="0" applyNumberFormat="1" applyBorder="1" applyAlignment="1">
      <alignment vertical="center" wrapText="1"/>
    </xf>
    <xf numFmtId="3" fontId="0" fillId="0" borderId="0" xfId="0" applyNumberFormat="1" applyBorder="1" applyAlignment="1">
      <alignment vertical="center"/>
    </xf>
    <xf numFmtId="3" fontId="0" fillId="0" borderId="0" xfId="0" applyNumberFormat="1" applyFill="1" applyBorder="1" applyAlignment="1">
      <alignment vertical="center"/>
    </xf>
    <xf numFmtId="3" fontId="0" fillId="10" borderId="0" xfId="0" applyNumberFormat="1" applyFill="1" applyBorder="1" applyAlignment="1">
      <alignment horizontal="center" vertical="center"/>
    </xf>
    <xf numFmtId="3" fontId="0" fillId="0" borderId="0" xfId="0" applyNumberFormat="1" applyFill="1" applyBorder="1" applyAlignment="1">
      <alignment horizontal="center" vertical="center"/>
    </xf>
    <xf numFmtId="3" fontId="0" fillId="0" borderId="0" xfId="0" applyNumberFormat="1" applyBorder="1" applyAlignment="1">
      <alignment horizontal="center" vertical="center"/>
    </xf>
    <xf numFmtId="3" fontId="0" fillId="8" borderId="0" xfId="0" applyNumberFormat="1" applyFill="1" applyBorder="1" applyAlignment="1">
      <alignment vertical="center"/>
    </xf>
    <xf numFmtId="3" fontId="0" fillId="9" borderId="0" xfId="0" applyNumberFormat="1" applyFill="1" applyBorder="1" applyAlignment="1">
      <alignment vertical="center"/>
    </xf>
    <xf numFmtId="3" fontId="0" fillId="7" borderId="0" xfId="0" applyNumberFormat="1" applyFill="1" applyBorder="1" applyAlignment="1">
      <alignment vertical="center"/>
    </xf>
    <xf numFmtId="4" fontId="0" fillId="7" borderId="0" xfId="0" applyNumberFormat="1" applyFill="1" applyAlignment="1">
      <alignment vertical="center"/>
    </xf>
    <xf numFmtId="165" fontId="0" fillId="0" borderId="0" xfId="0" applyNumberFormat="1" applyBorder="1" applyAlignment="1">
      <alignment vertical="center"/>
    </xf>
    <xf numFmtId="165" fontId="0" fillId="0" borderId="0" xfId="0" applyNumberFormat="1" applyFill="1" applyBorder="1" applyAlignment="1">
      <alignment vertical="center"/>
    </xf>
    <xf numFmtId="166" fontId="0" fillId="0" borderId="0" xfId="0" applyNumberFormat="1" applyBorder="1" applyAlignment="1">
      <alignment vertical="center"/>
    </xf>
    <xf numFmtId="166" fontId="0" fillId="0" borderId="0" xfId="0" applyNumberFormat="1" applyFill="1" applyBorder="1" applyAlignment="1">
      <alignment vertical="center"/>
    </xf>
    <xf numFmtId="166" fontId="0" fillId="8" borderId="0" xfId="0" applyNumberFormat="1" applyFill="1" applyBorder="1" applyAlignment="1">
      <alignment vertical="center"/>
    </xf>
    <xf numFmtId="3" fontId="6" fillId="0" borderId="0" xfId="0" applyNumberFormat="1" applyFont="1" applyBorder="1" applyAlignment="1">
      <alignment vertical="center" wrapText="1"/>
    </xf>
    <xf numFmtId="3" fontId="7" fillId="11" borderId="0" xfId="0" applyNumberFormat="1" applyFont="1" applyFill="1" applyBorder="1" applyAlignment="1">
      <alignment vertical="center" wrapText="1"/>
    </xf>
    <xf numFmtId="3" fontId="8" fillId="11" borderId="0" xfId="0" applyNumberFormat="1" applyFont="1" applyFill="1" applyBorder="1" applyAlignment="1">
      <alignment vertical="center"/>
    </xf>
    <xf numFmtId="3" fontId="0" fillId="10" borderId="0" xfId="0" applyNumberFormat="1" applyFont="1" applyFill="1" applyBorder="1" applyAlignment="1">
      <alignment horizontal="center" vertical="center" wrapText="1"/>
    </xf>
    <xf numFmtId="4" fontId="0" fillId="10" borderId="0" xfId="0" applyNumberFormat="1" applyFont="1" applyFill="1" applyBorder="1" applyAlignment="1">
      <alignment horizontal="center" vertical="center"/>
    </xf>
    <xf numFmtId="3" fontId="0" fillId="10" borderId="0" xfId="0" applyNumberFormat="1" applyFont="1" applyFill="1" applyBorder="1" applyAlignment="1">
      <alignment horizontal="center" vertical="center"/>
    </xf>
    <xf numFmtId="3" fontId="0" fillId="0" borderId="0" xfId="0" applyNumberFormat="1" applyFont="1" applyFill="1" applyBorder="1" applyAlignment="1">
      <alignment horizontal="center" vertical="center"/>
    </xf>
    <xf numFmtId="3" fontId="0" fillId="0" borderId="0" xfId="0" applyNumberFormat="1" applyFont="1" applyBorder="1" applyAlignment="1">
      <alignment horizontal="center" vertical="center" wrapText="1"/>
    </xf>
    <xf numFmtId="4" fontId="0" fillId="0" borderId="0" xfId="0" applyNumberFormat="1" applyFont="1" applyBorder="1" applyAlignment="1">
      <alignment horizontal="center" vertical="center"/>
    </xf>
    <xf numFmtId="165" fontId="0" fillId="0" borderId="0" xfId="0" applyNumberFormat="1" applyFont="1" applyBorder="1" applyAlignment="1">
      <alignment horizontal="center" vertical="center"/>
    </xf>
    <xf numFmtId="4" fontId="0" fillId="0" borderId="0" xfId="0" applyNumberFormat="1" applyFont="1" applyBorder="1" applyAlignment="1">
      <alignment horizontal="center" vertical="center" wrapText="1"/>
    </xf>
    <xf numFmtId="4" fontId="0" fillId="0" borderId="0" xfId="0" applyNumberFormat="1" applyFont="1" applyFill="1" applyBorder="1" applyAlignment="1">
      <alignment horizontal="center" vertical="center"/>
    </xf>
    <xf numFmtId="3" fontId="0" fillId="0" borderId="0" xfId="0" applyNumberFormat="1" applyFont="1" applyFill="1" applyBorder="1" applyAlignment="1">
      <alignment horizontal="center" vertical="center" wrapText="1"/>
    </xf>
    <xf numFmtId="3" fontId="0" fillId="0" borderId="0" xfId="0" applyNumberFormat="1" applyFont="1" applyBorder="1" applyAlignment="1">
      <alignment horizontal="center" vertical="center"/>
    </xf>
    <xf numFmtId="3" fontId="0" fillId="8" borderId="0" xfId="0" applyNumberFormat="1" applyFont="1" applyFill="1" applyBorder="1" applyAlignment="1">
      <alignment vertical="center" wrapText="1"/>
    </xf>
    <xf numFmtId="4" fontId="0" fillId="8" borderId="0" xfId="0" applyNumberFormat="1" applyFont="1" applyFill="1" applyBorder="1" applyAlignment="1">
      <alignment vertical="center"/>
    </xf>
    <xf numFmtId="165" fontId="0" fillId="8" borderId="0" xfId="0" applyNumberFormat="1" applyFont="1" applyFill="1" applyBorder="1" applyAlignment="1">
      <alignment vertical="center"/>
    </xf>
    <xf numFmtId="4" fontId="0" fillId="8" borderId="0" xfId="0" applyNumberFormat="1" applyFont="1" applyFill="1" applyBorder="1" applyAlignment="1">
      <alignment vertical="center" wrapText="1"/>
    </xf>
    <xf numFmtId="3" fontId="0" fillId="8" borderId="0" xfId="0" applyNumberFormat="1" applyFont="1" applyFill="1" applyBorder="1" applyAlignment="1">
      <alignment vertical="center"/>
    </xf>
    <xf numFmtId="3" fontId="0" fillId="0" borderId="0" xfId="0" applyNumberFormat="1" applyFont="1" applyFill="1" applyBorder="1" applyAlignment="1">
      <alignment vertical="center"/>
    </xf>
    <xf numFmtId="3" fontId="0" fillId="0" borderId="0" xfId="0" applyNumberFormat="1" applyFont="1" applyBorder="1" applyAlignment="1">
      <alignment vertical="center" wrapText="1"/>
    </xf>
    <xf numFmtId="4" fontId="0" fillId="0" borderId="0" xfId="0" applyNumberFormat="1" applyFont="1" applyBorder="1" applyAlignment="1">
      <alignment vertical="center"/>
    </xf>
    <xf numFmtId="165" fontId="0" fillId="0" borderId="0" xfId="0" applyNumberFormat="1" applyFont="1" applyBorder="1" applyAlignment="1">
      <alignment vertical="center"/>
    </xf>
    <xf numFmtId="4" fontId="0" fillId="0" borderId="0" xfId="0" applyNumberFormat="1" applyFont="1" applyBorder="1" applyAlignment="1">
      <alignment vertical="center" wrapText="1"/>
    </xf>
    <xf numFmtId="3" fontId="0" fillId="0" borderId="0" xfId="0" applyNumberFormat="1" applyFont="1" applyBorder="1" applyAlignment="1">
      <alignment vertical="center"/>
    </xf>
    <xf numFmtId="166" fontId="0" fillId="0" borderId="0" xfId="0" applyNumberFormat="1" applyFont="1" applyBorder="1" applyAlignment="1">
      <alignment vertical="center"/>
    </xf>
    <xf numFmtId="4" fontId="0" fillId="0" borderId="0" xfId="0" applyNumberFormat="1" applyFont="1" applyFill="1" applyBorder="1" applyAlignment="1">
      <alignment vertical="center"/>
    </xf>
    <xf numFmtId="3" fontId="0" fillId="9" borderId="0" xfId="0" applyNumberFormat="1" applyFont="1" applyFill="1" applyBorder="1" applyAlignment="1">
      <alignment vertical="center"/>
    </xf>
    <xf numFmtId="166" fontId="0" fillId="9" borderId="0" xfId="0" applyNumberFormat="1" applyFont="1" applyFill="1" applyBorder="1" applyAlignment="1">
      <alignment vertical="center"/>
    </xf>
    <xf numFmtId="3" fontId="0" fillId="0" borderId="0" xfId="0" applyNumberFormat="1" applyFont="1" applyFill="1" applyBorder="1" applyAlignment="1">
      <alignment vertical="center" wrapText="1"/>
    </xf>
    <xf numFmtId="3" fontId="0" fillId="9" borderId="0" xfId="0" applyNumberFormat="1" applyFont="1" applyFill="1" applyBorder="1" applyAlignment="1">
      <alignment vertical="center" wrapText="1"/>
    </xf>
    <xf numFmtId="4" fontId="0" fillId="9" borderId="0" xfId="0" applyNumberFormat="1" applyFont="1" applyFill="1" applyBorder="1" applyAlignment="1">
      <alignment vertical="center"/>
    </xf>
    <xf numFmtId="165" fontId="0" fillId="9" borderId="0" xfId="0" applyNumberFormat="1" applyFont="1" applyFill="1" applyBorder="1" applyAlignment="1">
      <alignment vertical="center"/>
    </xf>
    <xf numFmtId="4" fontId="0" fillId="9" borderId="0" xfId="0" applyNumberFormat="1" applyFont="1" applyFill="1" applyBorder="1" applyAlignment="1">
      <alignment vertical="center" wrapText="1"/>
    </xf>
    <xf numFmtId="165" fontId="0" fillId="0" borderId="0" xfId="0" applyNumberFormat="1" applyFont="1" applyFill="1" applyBorder="1" applyAlignment="1">
      <alignment vertical="center"/>
    </xf>
    <xf numFmtId="4" fontId="0" fillId="0" borderId="0" xfId="0" applyNumberFormat="1" applyFont="1" applyFill="1" applyBorder="1" applyAlignment="1">
      <alignment vertical="center" wrapText="1"/>
    </xf>
    <xf numFmtId="3" fontId="0" fillId="12" borderId="0" xfId="0" applyNumberFormat="1" applyFont="1" applyFill="1" applyBorder="1" applyAlignment="1">
      <alignment vertical="center"/>
    </xf>
    <xf numFmtId="166" fontId="0" fillId="12" borderId="0" xfId="0" applyNumberFormat="1" applyFont="1" applyFill="1" applyBorder="1" applyAlignment="1">
      <alignment vertical="center"/>
    </xf>
    <xf numFmtId="166" fontId="0" fillId="0" borderId="0" xfId="0" applyNumberFormat="1" applyFont="1" applyFill="1" applyBorder="1" applyAlignment="1">
      <alignment vertical="center"/>
    </xf>
    <xf numFmtId="166" fontId="0" fillId="8" borderId="0" xfId="0" applyNumberFormat="1" applyFont="1" applyFill="1" applyBorder="1" applyAlignment="1">
      <alignment vertical="center"/>
    </xf>
    <xf numFmtId="3" fontId="0" fillId="7" borderId="0" xfId="0" applyNumberFormat="1" applyFont="1" applyFill="1" applyBorder="1" applyAlignment="1">
      <alignment vertical="center" wrapText="1"/>
    </xf>
    <xf numFmtId="4" fontId="0" fillId="7" borderId="0" xfId="0" applyNumberFormat="1" applyFont="1" applyFill="1" applyBorder="1" applyAlignment="1">
      <alignment vertical="center"/>
    </xf>
    <xf numFmtId="165" fontId="0" fillId="7" borderId="0" xfId="0" applyNumberFormat="1" applyFont="1" applyFill="1" applyBorder="1" applyAlignment="1">
      <alignment vertical="center"/>
    </xf>
    <xf numFmtId="4" fontId="0" fillId="7" borderId="0" xfId="0" applyNumberFormat="1" applyFont="1" applyFill="1" applyBorder="1" applyAlignment="1">
      <alignment vertical="center" wrapText="1"/>
    </xf>
    <xf numFmtId="3" fontId="0" fillId="7" borderId="0" xfId="0" applyNumberFormat="1" applyFont="1" applyFill="1" applyBorder="1" applyAlignment="1">
      <alignment vertical="center"/>
    </xf>
    <xf numFmtId="3" fontId="0" fillId="0" borderId="0" xfId="0" applyNumberFormat="1" applyFont="1" applyBorder="1" applyAlignment="1">
      <alignment horizontal="right" vertical="center"/>
    </xf>
    <xf numFmtId="3" fontId="0" fillId="9" borderId="0" xfId="0" applyNumberFormat="1" applyFont="1" applyFill="1" applyBorder="1" applyAlignment="1">
      <alignment horizontal="center" vertical="center" wrapText="1"/>
    </xf>
    <xf numFmtId="4" fontId="0" fillId="9" borderId="0" xfId="0" applyNumberFormat="1" applyFont="1" applyFill="1" applyBorder="1" applyAlignment="1">
      <alignment horizontal="center" vertical="center"/>
    </xf>
    <xf numFmtId="165" fontId="0" fillId="9" borderId="0" xfId="0" applyNumberFormat="1" applyFont="1" applyFill="1" applyBorder="1" applyAlignment="1">
      <alignment horizontal="center" vertical="center"/>
    </xf>
    <xf numFmtId="4" fontId="0" fillId="9" borderId="0" xfId="0" applyNumberFormat="1" applyFont="1" applyFill="1" applyBorder="1" applyAlignment="1">
      <alignment horizontal="center" vertical="center" wrapText="1"/>
    </xf>
    <xf numFmtId="3" fontId="0" fillId="0" borderId="0" xfId="0" applyNumberFormat="1" applyFont="1" applyBorder="1" applyAlignment="1">
      <alignment horizontal="left" vertical="center" wrapText="1"/>
    </xf>
    <xf numFmtId="165" fontId="0" fillId="0" borderId="0" xfId="0" applyNumberFormat="1" applyFont="1" applyBorder="1" applyAlignment="1">
      <alignment horizontal="right" vertical="center"/>
    </xf>
    <xf numFmtId="166" fontId="0" fillId="0" borderId="0" xfId="0" applyNumberFormat="1" applyFont="1" applyBorder="1" applyAlignment="1">
      <alignment vertical="center" wrapText="1"/>
    </xf>
    <xf numFmtId="167" fontId="0" fillId="0" borderId="0" xfId="0" applyNumberFormat="1" applyFont="1" applyBorder="1" applyAlignment="1">
      <alignment vertical="center"/>
    </xf>
    <xf numFmtId="0" fontId="0" fillId="2" borderId="1" xfId="0" applyFill="1" applyBorder="1" applyAlignment="1">
      <alignment horizontal="center"/>
    </xf>
    <xf numFmtId="0" fontId="0" fillId="2" borderId="7" xfId="0" applyFill="1" applyBorder="1" applyAlignment="1">
      <alignment horizontal="center"/>
    </xf>
    <xf numFmtId="0" fontId="0" fillId="0" borderId="1" xfId="0" applyBorder="1" applyAlignment="1">
      <alignment wrapText="1"/>
    </xf>
    <xf numFmtId="3" fontId="0" fillId="0" borderId="0" xfId="0" applyNumberFormat="1" applyFont="1" applyBorder="1" applyAlignment="1">
      <alignment horizontal="left" vertical="center"/>
    </xf>
    <xf numFmtId="166" fontId="0" fillId="0" borderId="0" xfId="0" applyNumberFormat="1" applyBorder="1" applyAlignment="1">
      <alignment horizontal="right" vertical="center"/>
    </xf>
    <xf numFmtId="3" fontId="5" fillId="0" borderId="0" xfId="0" applyNumberFormat="1" applyFont="1" applyBorder="1" applyAlignment="1">
      <alignment vertical="center"/>
    </xf>
    <xf numFmtId="166" fontId="5" fillId="0" borderId="0" xfId="0" applyNumberFormat="1" applyFont="1" applyBorder="1" applyAlignment="1">
      <alignment vertical="center"/>
    </xf>
    <xf numFmtId="3" fontId="5" fillId="0" borderId="0" xfId="0" applyNumberFormat="1" applyFont="1" applyFill="1" applyBorder="1" applyAlignment="1">
      <alignment vertical="center"/>
    </xf>
    <xf numFmtId="166" fontId="5" fillId="0" borderId="0" xfId="0" applyNumberFormat="1" applyFont="1" applyFill="1" applyBorder="1" applyAlignment="1">
      <alignment vertical="center"/>
    </xf>
    <xf numFmtId="3" fontId="0" fillId="8" borderId="0" xfId="0" applyNumberFormat="1" applyFont="1" applyFill="1" applyBorder="1" applyAlignment="1">
      <alignment horizontal="left" vertical="center"/>
    </xf>
    <xf numFmtId="0" fontId="3" fillId="0" borderId="1" xfId="0" applyFont="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0" borderId="5" xfId="0" applyBorder="1" applyAlignment="1">
      <alignment horizontal="center"/>
    </xf>
    <xf numFmtId="0" fontId="0" fillId="0" borderId="0" xfId="0" applyAlignment="1">
      <alignment horizontal="center" vertical="center"/>
    </xf>
    <xf numFmtId="3" fontId="0" fillId="10" borderId="0"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vietnamworks.com/muc-luong/ai-engineer-sk" TargetMode="External"/><Relationship Id="rId2" Type="http://schemas.openxmlformats.org/officeDocument/2006/relationships/hyperlink" Target="https://firebase.google.com/pricing" TargetMode="External"/><Relationship Id="rId1" Type="http://schemas.openxmlformats.org/officeDocument/2006/relationships/hyperlink" Target="https://www.vietnamworks.com/muc-luong/game-designer-sk?c=2" TargetMode="External"/><Relationship Id="rId6" Type="http://schemas.openxmlformats.org/officeDocument/2006/relationships/printerSettings" Target="../printerSettings/printerSettings1.bin"/><Relationship Id="rId5" Type="http://schemas.openxmlformats.org/officeDocument/2006/relationships/hyperlink" Target="https://www.vietnamworks.com/muc-luong/quan-ly-du-an-cong-nghe-sk" TargetMode="External"/><Relationship Id="rId4" Type="http://schemas.openxmlformats.org/officeDocument/2006/relationships/hyperlink" Target="https://duydutoan.com/bang-tinh-luong-chuyen-gia-tu-van.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D2C69-8A2B-40E5-A124-F0B3A8AE783C}">
  <dimension ref="A1:I47"/>
  <sheetViews>
    <sheetView topLeftCell="A25" zoomScale="105" zoomScaleNormal="75" workbookViewId="0">
      <selection activeCell="A35" sqref="A35"/>
    </sheetView>
  </sheetViews>
  <sheetFormatPr defaultRowHeight="14.4" x14ac:dyDescent="0.3"/>
  <cols>
    <col min="1" max="1" width="37.5546875" customWidth="1"/>
    <col min="2" max="2" width="17.33203125" bestFit="1" customWidth="1"/>
    <col min="4" max="4" width="12.44140625" bestFit="1" customWidth="1"/>
    <col min="5" max="5" width="9.21875" bestFit="1" customWidth="1"/>
    <col min="6" max="6" width="80.33203125" customWidth="1"/>
    <col min="7" max="7" width="20.77734375" customWidth="1"/>
    <col min="8" max="8" width="20.109375" customWidth="1"/>
    <col min="9" max="9" width="15.44140625" customWidth="1"/>
  </cols>
  <sheetData>
    <row r="1" spans="1:9" ht="28.8" x14ac:dyDescent="0.55000000000000004">
      <c r="A1" s="105" t="s">
        <v>0</v>
      </c>
      <c r="B1" s="105"/>
      <c r="C1" s="105"/>
      <c r="D1" s="105"/>
      <c r="E1" s="105"/>
      <c r="F1" s="105"/>
      <c r="H1" s="3" t="s">
        <v>49</v>
      </c>
      <c r="I1" s="3" t="s">
        <v>50</v>
      </c>
    </row>
    <row r="2" spans="1:9" s="7" customFormat="1" x14ac:dyDescent="0.3">
      <c r="A2" s="95" t="s">
        <v>1</v>
      </c>
      <c r="B2" s="95" t="s">
        <v>2</v>
      </c>
      <c r="C2" s="95" t="s">
        <v>3</v>
      </c>
      <c r="D2" s="95" t="s">
        <v>65</v>
      </c>
      <c r="E2" s="95" t="s">
        <v>4</v>
      </c>
      <c r="F2" s="95" t="s">
        <v>5</v>
      </c>
      <c r="G2" s="96" t="s">
        <v>88</v>
      </c>
      <c r="H2" s="8" t="s">
        <v>51</v>
      </c>
      <c r="I2" s="8">
        <v>10.5</v>
      </c>
    </row>
    <row r="3" spans="1:9" x14ac:dyDescent="0.3">
      <c r="A3" s="1" t="s">
        <v>6</v>
      </c>
      <c r="B3" s="1"/>
      <c r="C3" s="1"/>
      <c r="D3" s="1"/>
      <c r="E3" s="1"/>
      <c r="F3" s="1"/>
      <c r="G3" s="11">
        <v>45782</v>
      </c>
      <c r="H3" s="1" t="s">
        <v>52</v>
      </c>
      <c r="I3" s="1">
        <v>2</v>
      </c>
    </row>
    <row r="4" spans="1:9" x14ac:dyDescent="0.3">
      <c r="A4" s="1" t="s">
        <v>7</v>
      </c>
      <c r="B4" s="1" t="s">
        <v>29</v>
      </c>
      <c r="C4" s="1">
        <v>1</v>
      </c>
      <c r="D4" s="1">
        <v>50</v>
      </c>
      <c r="E4" s="1">
        <f>D4*C4*$I$2</f>
        <v>525</v>
      </c>
      <c r="F4" s="2" t="s">
        <v>41</v>
      </c>
      <c r="G4" s="11">
        <v>45782</v>
      </c>
    </row>
    <row r="5" spans="1:9" x14ac:dyDescent="0.3">
      <c r="A5" s="1" t="s">
        <v>8</v>
      </c>
      <c r="B5" s="1" t="s">
        <v>29</v>
      </c>
      <c r="C5" s="1">
        <v>2</v>
      </c>
      <c r="D5" s="1">
        <v>24</v>
      </c>
      <c r="E5" s="1">
        <f t="shared" ref="E5:E9" si="0">D5*C5*$I$2</f>
        <v>504</v>
      </c>
      <c r="F5" s="1" t="s">
        <v>42</v>
      </c>
      <c r="G5" s="11">
        <v>45782</v>
      </c>
    </row>
    <row r="6" spans="1:9" x14ac:dyDescent="0.3">
      <c r="A6" s="1" t="s">
        <v>151</v>
      </c>
      <c r="B6" s="1" t="s">
        <v>30</v>
      </c>
      <c r="C6" s="1">
        <v>1</v>
      </c>
      <c r="D6" s="1">
        <f>10*80%</f>
        <v>8</v>
      </c>
      <c r="E6" s="1">
        <f>D6*C6</f>
        <v>8</v>
      </c>
      <c r="F6" s="2" t="s">
        <v>43</v>
      </c>
      <c r="G6" s="11">
        <v>45782</v>
      </c>
    </row>
    <row r="7" spans="1:9" x14ac:dyDescent="0.3">
      <c r="A7" s="1" t="s">
        <v>98</v>
      </c>
      <c r="B7" s="1" t="s">
        <v>31</v>
      </c>
      <c r="C7" s="1">
        <v>0</v>
      </c>
      <c r="D7" s="1">
        <v>30</v>
      </c>
      <c r="E7" s="1">
        <f t="shared" si="0"/>
        <v>0</v>
      </c>
      <c r="F7" s="2" t="s">
        <v>87</v>
      </c>
      <c r="G7" s="11">
        <v>45782</v>
      </c>
    </row>
    <row r="8" spans="1:9" x14ac:dyDescent="0.3">
      <c r="A8" s="1" t="s">
        <v>89</v>
      </c>
      <c r="B8" s="1" t="s">
        <v>32</v>
      </c>
      <c r="C8" s="1">
        <v>2</v>
      </c>
      <c r="D8" s="1">
        <v>20</v>
      </c>
      <c r="E8" s="1">
        <f t="shared" si="0"/>
        <v>420</v>
      </c>
      <c r="F8" s="1" t="s">
        <v>44</v>
      </c>
      <c r="G8" s="11">
        <v>45782</v>
      </c>
    </row>
    <row r="9" spans="1:9" x14ac:dyDescent="0.3">
      <c r="A9" s="1" t="s">
        <v>90</v>
      </c>
      <c r="B9" s="1" t="s">
        <v>31</v>
      </c>
      <c r="C9" s="1">
        <v>1</v>
      </c>
      <c r="D9" s="1">
        <v>19</v>
      </c>
      <c r="E9" s="1">
        <f t="shared" si="0"/>
        <v>199.5</v>
      </c>
      <c r="F9" s="2" t="s">
        <v>91</v>
      </c>
      <c r="G9" s="11">
        <v>45782</v>
      </c>
    </row>
    <row r="10" spans="1:9" x14ac:dyDescent="0.3">
      <c r="A10" s="4" t="s">
        <v>9</v>
      </c>
      <c r="B10" s="4"/>
      <c r="C10" s="4"/>
      <c r="D10" s="4"/>
      <c r="E10" s="4">
        <f>SUM(E4:E9)</f>
        <v>1656.5</v>
      </c>
      <c r="F10" s="4"/>
    </row>
    <row r="11" spans="1:9" x14ac:dyDescent="0.3">
      <c r="A11" s="1" t="s">
        <v>14</v>
      </c>
      <c r="B11" s="1"/>
      <c r="C11" s="1"/>
      <c r="D11" s="1"/>
      <c r="E11" s="1"/>
      <c r="F11" s="1"/>
    </row>
    <row r="12" spans="1:9" x14ac:dyDescent="0.3">
      <c r="A12" s="1" t="s">
        <v>10</v>
      </c>
      <c r="B12" s="1" t="s">
        <v>33</v>
      </c>
      <c r="C12" s="1">
        <v>1</v>
      </c>
      <c r="D12" s="1">
        <v>0</v>
      </c>
      <c r="E12" s="1"/>
      <c r="F12" s="1"/>
    </row>
    <row r="13" spans="1:9" x14ac:dyDescent="0.3">
      <c r="A13" s="1" t="s">
        <v>11</v>
      </c>
      <c r="B13" s="1" t="s">
        <v>34</v>
      </c>
      <c r="C13" s="1">
        <v>1</v>
      </c>
      <c r="D13" s="1">
        <v>0</v>
      </c>
      <c r="E13" s="1"/>
      <c r="F13" s="1"/>
    </row>
    <row r="14" spans="1:9" x14ac:dyDescent="0.3">
      <c r="A14" s="1" t="s">
        <v>12</v>
      </c>
      <c r="B14" s="1" t="s">
        <v>45</v>
      </c>
      <c r="C14" s="1">
        <v>1</v>
      </c>
      <c r="D14" s="1">
        <v>5</v>
      </c>
      <c r="E14" s="1">
        <f>D14*C14*I2</f>
        <v>52.5</v>
      </c>
      <c r="F14" s="2" t="s">
        <v>46</v>
      </c>
      <c r="G14" s="11">
        <v>45782</v>
      </c>
    </row>
    <row r="15" spans="1:9" x14ac:dyDescent="0.3">
      <c r="A15" s="1" t="s">
        <v>13</v>
      </c>
      <c r="B15" s="1" t="s">
        <v>34</v>
      </c>
      <c r="C15" s="1">
        <v>1</v>
      </c>
      <c r="D15" s="1">
        <v>0</v>
      </c>
      <c r="E15" s="1"/>
      <c r="F15" s="1"/>
    </row>
    <row r="16" spans="1:9" x14ac:dyDescent="0.3">
      <c r="A16" s="1" t="s">
        <v>95</v>
      </c>
      <c r="B16" s="1" t="s">
        <v>34</v>
      </c>
      <c r="C16" s="1">
        <v>1</v>
      </c>
      <c r="D16" s="1">
        <v>0</v>
      </c>
      <c r="E16" s="1"/>
      <c r="F16" s="1"/>
    </row>
    <row r="17" spans="1:7" x14ac:dyDescent="0.3">
      <c r="A17" s="4" t="s">
        <v>15</v>
      </c>
      <c r="B17" s="4"/>
      <c r="C17" s="4"/>
      <c r="D17" s="4"/>
      <c r="E17" s="4">
        <f>E14</f>
        <v>52.5</v>
      </c>
      <c r="F17" s="4"/>
    </row>
    <row r="18" spans="1:7" x14ac:dyDescent="0.3">
      <c r="A18" s="1" t="s">
        <v>16</v>
      </c>
      <c r="B18" s="1"/>
      <c r="C18" s="1"/>
      <c r="D18" s="1"/>
      <c r="E18" s="1"/>
      <c r="F18" s="1"/>
    </row>
    <row r="19" spans="1:7" x14ac:dyDescent="0.3">
      <c r="A19" s="1" t="s">
        <v>17</v>
      </c>
      <c r="B19" s="1" t="s">
        <v>35</v>
      </c>
      <c r="C19" s="1">
        <v>1</v>
      </c>
      <c r="D19" s="1">
        <v>6</v>
      </c>
      <c r="E19" s="1">
        <f>D19*C19*I2</f>
        <v>63</v>
      </c>
      <c r="F19" s="1" t="s">
        <v>47</v>
      </c>
      <c r="G19" s="11">
        <v>45782</v>
      </c>
    </row>
    <row r="20" spans="1:7" x14ac:dyDescent="0.3">
      <c r="A20" s="1" t="s">
        <v>18</v>
      </c>
      <c r="B20" s="1" t="s">
        <v>36</v>
      </c>
      <c r="C20" s="1">
        <v>0</v>
      </c>
      <c r="D20" s="1">
        <v>15</v>
      </c>
      <c r="E20" s="1">
        <f>D20*C20</f>
        <v>0</v>
      </c>
      <c r="F20" s="1" t="s">
        <v>48</v>
      </c>
      <c r="G20" s="11">
        <v>45782</v>
      </c>
    </row>
    <row r="21" spans="1:7" x14ac:dyDescent="0.3">
      <c r="A21" s="4" t="s">
        <v>19</v>
      </c>
      <c r="B21" s="4"/>
      <c r="C21" s="4"/>
      <c r="D21" s="4"/>
      <c r="E21" s="4">
        <f>SUM(E19:E20)</f>
        <v>63</v>
      </c>
      <c r="F21" s="4"/>
    </row>
    <row r="22" spans="1:7" x14ac:dyDescent="0.3">
      <c r="A22" s="1" t="s">
        <v>20</v>
      </c>
      <c r="B22" s="1"/>
      <c r="C22" s="1"/>
      <c r="D22" s="1"/>
      <c r="E22" s="1"/>
      <c r="F22" s="1"/>
    </row>
    <row r="23" spans="1:7" x14ac:dyDescent="0.3">
      <c r="A23" s="1" t="s">
        <v>21</v>
      </c>
      <c r="B23" s="1" t="s">
        <v>97</v>
      </c>
      <c r="C23" s="1">
        <v>100</v>
      </c>
      <c r="D23" s="1">
        <v>0</v>
      </c>
      <c r="E23" s="1">
        <f>D23*C23</f>
        <v>0</v>
      </c>
      <c r="F23" s="1"/>
    </row>
    <row r="24" spans="1:7" x14ac:dyDescent="0.3">
      <c r="A24" s="1" t="s">
        <v>22</v>
      </c>
      <c r="B24" s="1" t="s">
        <v>37</v>
      </c>
      <c r="C24" s="1">
        <v>5</v>
      </c>
      <c r="D24" s="1">
        <v>3</v>
      </c>
      <c r="E24" s="1">
        <f>D24*C24*I3</f>
        <v>30</v>
      </c>
      <c r="F24" s="1"/>
    </row>
    <row r="25" spans="1:7" x14ac:dyDescent="0.3">
      <c r="A25" s="1" t="s">
        <v>23</v>
      </c>
      <c r="B25" s="1" t="s">
        <v>38</v>
      </c>
      <c r="C25" s="1">
        <v>0</v>
      </c>
      <c r="D25" s="1">
        <v>50</v>
      </c>
      <c r="E25" s="1">
        <f>D25*C25</f>
        <v>0</v>
      </c>
      <c r="F25" s="1"/>
    </row>
    <row r="26" spans="1:7" x14ac:dyDescent="0.3">
      <c r="A26" s="4" t="s">
        <v>24</v>
      </c>
      <c r="B26" s="4"/>
      <c r="C26" s="4"/>
      <c r="D26" s="4"/>
      <c r="E26" s="4">
        <f>SUM(E23:E25)</f>
        <v>30</v>
      </c>
      <c r="F26" s="4"/>
    </row>
    <row r="27" spans="1:7" x14ac:dyDescent="0.3">
      <c r="A27" s="1" t="s">
        <v>25</v>
      </c>
      <c r="B27" s="1"/>
      <c r="C27" s="1"/>
      <c r="D27" s="1"/>
      <c r="E27" s="1"/>
      <c r="F27" s="1"/>
    </row>
    <row r="28" spans="1:7" ht="28.8" x14ac:dyDescent="0.3">
      <c r="A28" s="97" t="s">
        <v>96</v>
      </c>
      <c r="B28" s="1" t="s">
        <v>40</v>
      </c>
      <c r="C28" s="1">
        <v>1</v>
      </c>
      <c r="D28" s="1">
        <v>10</v>
      </c>
      <c r="E28" s="1">
        <f>D28*C28</f>
        <v>10</v>
      </c>
      <c r="F28" s="1"/>
    </row>
    <row r="29" spans="1:7" x14ac:dyDescent="0.3">
      <c r="A29" s="1" t="s">
        <v>26</v>
      </c>
      <c r="B29" s="1" t="s">
        <v>39</v>
      </c>
      <c r="C29" s="1">
        <v>1</v>
      </c>
      <c r="D29" s="1"/>
      <c r="E29" s="1">
        <f>(E10+E17+E21+E26+E28)*10%</f>
        <v>181.20000000000002</v>
      </c>
      <c r="F29" s="1"/>
    </row>
    <row r="30" spans="1:7" x14ac:dyDescent="0.3">
      <c r="A30" s="4" t="s">
        <v>27</v>
      </c>
      <c r="B30" s="4"/>
      <c r="C30" s="4"/>
      <c r="D30" s="4"/>
      <c r="E30" s="4">
        <f>E28+E29</f>
        <v>191.20000000000002</v>
      </c>
      <c r="F30" s="4"/>
    </row>
    <row r="31" spans="1:7" x14ac:dyDescent="0.3">
      <c r="A31" s="5" t="s">
        <v>28</v>
      </c>
      <c r="B31" s="5"/>
      <c r="C31" s="5"/>
      <c r="D31" s="5"/>
      <c r="E31" s="5">
        <f>E10+E17+E21+E26+E30</f>
        <v>1993.2</v>
      </c>
      <c r="F31" s="6"/>
    </row>
    <row r="32" spans="1:7" x14ac:dyDescent="0.3">
      <c r="A32" s="106" t="s">
        <v>75</v>
      </c>
      <c r="B32" s="107"/>
      <c r="C32" s="107"/>
      <c r="D32" s="107"/>
      <c r="E32" s="108"/>
      <c r="F32" s="9"/>
    </row>
    <row r="33" spans="1:6" x14ac:dyDescent="0.3">
      <c r="A33" s="8" t="s">
        <v>1</v>
      </c>
      <c r="B33" s="8"/>
      <c r="C33" s="8" t="s">
        <v>3</v>
      </c>
      <c r="D33" s="8" t="s">
        <v>65</v>
      </c>
      <c r="E33" s="8" t="s">
        <v>4</v>
      </c>
      <c r="F33" s="7"/>
    </row>
    <row r="34" spans="1:6" x14ac:dyDescent="0.3">
      <c r="A34" s="1" t="s">
        <v>7</v>
      </c>
      <c r="B34" s="1"/>
      <c r="C34" s="1">
        <v>0</v>
      </c>
      <c r="D34" s="1">
        <v>50</v>
      </c>
      <c r="E34" s="1">
        <f>D34*C34</f>
        <v>0</v>
      </c>
    </row>
    <row r="35" spans="1:6" x14ac:dyDescent="0.3">
      <c r="A35" s="1" t="s">
        <v>8</v>
      </c>
      <c r="B35" s="1"/>
      <c r="C35" s="1">
        <v>1</v>
      </c>
      <c r="D35" s="1">
        <v>24</v>
      </c>
      <c r="E35" s="1">
        <f t="shared" ref="E35:E39" si="1">D35*C35</f>
        <v>24</v>
      </c>
    </row>
    <row r="36" spans="1:6" x14ac:dyDescent="0.3">
      <c r="A36" s="1" t="s">
        <v>101</v>
      </c>
      <c r="B36" s="1"/>
      <c r="C36" s="1">
        <v>1</v>
      </c>
      <c r="D36" s="1">
        <v>35</v>
      </c>
      <c r="E36" s="1">
        <f t="shared" si="1"/>
        <v>35</v>
      </c>
    </row>
    <row r="37" spans="1:6" x14ac:dyDescent="0.3">
      <c r="A37" s="10" t="s">
        <v>99</v>
      </c>
      <c r="B37" s="1"/>
      <c r="C37" s="1">
        <v>0</v>
      </c>
      <c r="D37" s="1">
        <v>18</v>
      </c>
      <c r="E37" s="1">
        <f t="shared" si="1"/>
        <v>0</v>
      </c>
      <c r="F37" t="s">
        <v>100</v>
      </c>
    </row>
    <row r="38" spans="1:6" x14ac:dyDescent="0.3">
      <c r="A38" s="1" t="s">
        <v>12</v>
      </c>
      <c r="B38" s="1"/>
      <c r="C38" s="1">
        <v>1</v>
      </c>
      <c r="D38" s="1">
        <v>5</v>
      </c>
      <c r="E38" s="1">
        <f t="shared" si="1"/>
        <v>5</v>
      </c>
    </row>
    <row r="39" spans="1:6" x14ac:dyDescent="0.3">
      <c r="A39" s="1" t="s">
        <v>17</v>
      </c>
      <c r="B39" s="1"/>
      <c r="C39" s="1">
        <v>1</v>
      </c>
      <c r="D39" s="1">
        <v>6</v>
      </c>
      <c r="E39" s="1">
        <f t="shared" si="1"/>
        <v>6</v>
      </c>
    </row>
    <row r="40" spans="1:6" x14ac:dyDescent="0.3">
      <c r="A40" s="1" t="s">
        <v>79</v>
      </c>
      <c r="B40" s="1"/>
      <c r="C40" s="1"/>
      <c r="D40" s="1"/>
      <c r="E40" s="1">
        <f>SUM(E34:E39)</f>
        <v>70</v>
      </c>
    </row>
    <row r="41" spans="1:6" x14ac:dyDescent="0.3">
      <c r="A41" s="109" t="s">
        <v>77</v>
      </c>
      <c r="B41" s="109"/>
    </row>
    <row r="42" spans="1:6" x14ac:dyDescent="0.3">
      <c r="A42" t="s">
        <v>78</v>
      </c>
      <c r="B42" t="s">
        <v>76</v>
      </c>
    </row>
    <row r="43" spans="1:6" x14ac:dyDescent="0.3">
      <c r="A43">
        <v>1</v>
      </c>
      <c r="B43">
        <f>E31+E40*(12-10.5)</f>
        <v>2098.1999999999998</v>
      </c>
    </row>
    <row r="44" spans="1:6" x14ac:dyDescent="0.3">
      <c r="A44">
        <v>2</v>
      </c>
      <c r="B44">
        <f>E40*12</f>
        <v>840</v>
      </c>
    </row>
    <row r="45" spans="1:6" x14ac:dyDescent="0.3">
      <c r="A45">
        <v>3</v>
      </c>
      <c r="B45">
        <f>B44</f>
        <v>840</v>
      </c>
    </row>
    <row r="46" spans="1:6" x14ac:dyDescent="0.3">
      <c r="A46">
        <v>4</v>
      </c>
      <c r="B46">
        <f t="shared" ref="B46:B47" si="2">B45</f>
        <v>840</v>
      </c>
    </row>
    <row r="47" spans="1:6" x14ac:dyDescent="0.3">
      <c r="A47">
        <v>5</v>
      </c>
      <c r="B47">
        <f t="shared" si="2"/>
        <v>840</v>
      </c>
    </row>
  </sheetData>
  <mergeCells count="3">
    <mergeCell ref="A1:F1"/>
    <mergeCell ref="A32:E32"/>
    <mergeCell ref="A41:B41"/>
  </mergeCells>
  <hyperlinks>
    <hyperlink ref="F9" r:id="rId1" xr:uid="{5042D6E9-B6FF-4960-A868-645BFA1D55B6}"/>
    <hyperlink ref="F14" r:id="rId2" xr:uid="{578F37EB-5C16-4FE8-A47B-6779B1B2FCB8}"/>
    <hyperlink ref="F7" r:id="rId3" display="https://www.vietnamworks.com/muc-luong/ai-engineer-sk" xr:uid="{9F6ED013-A10F-4637-84BE-24EB5C0FE7A0}"/>
    <hyperlink ref="F6" r:id="rId4" xr:uid="{FBDF4795-DA98-4C89-BA46-7568AA433D5F}"/>
    <hyperlink ref="F4" r:id="rId5" xr:uid="{EF7E04E7-D353-4131-8D23-1445B65A5312}"/>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5669-1EEF-44D8-ADF4-39D0E31FE542}">
  <dimension ref="A1:L20"/>
  <sheetViews>
    <sheetView topLeftCell="B1" zoomScale="79" zoomScaleNormal="76" workbookViewId="0">
      <selection activeCell="G13" sqref="G13"/>
    </sheetView>
  </sheetViews>
  <sheetFormatPr defaultRowHeight="14.4" x14ac:dyDescent="0.3"/>
  <cols>
    <col min="1" max="1" width="35.88671875" style="12" customWidth="1"/>
    <col min="2" max="2" width="15.21875" style="12" customWidth="1"/>
    <col min="3" max="3" width="44.21875" style="13" customWidth="1"/>
    <col min="4" max="5" width="12.88671875" style="12" customWidth="1"/>
    <col min="6" max="6" width="22.44140625" style="12" customWidth="1"/>
    <col min="7" max="7" width="15.6640625" style="12" customWidth="1"/>
    <col min="8" max="12" width="13.88671875" style="12" bestFit="1" customWidth="1"/>
    <col min="13" max="16384" width="8.88671875" style="12"/>
  </cols>
  <sheetData>
    <row r="1" spans="1:12" x14ac:dyDescent="0.3">
      <c r="F1" s="12" t="s">
        <v>73</v>
      </c>
      <c r="G1" s="12" t="s">
        <v>68</v>
      </c>
      <c r="H1" s="12" t="s">
        <v>69</v>
      </c>
      <c r="I1" s="12" t="s">
        <v>70</v>
      </c>
      <c r="J1" s="12" t="s">
        <v>71</v>
      </c>
      <c r="K1" s="12" t="s">
        <v>72</v>
      </c>
      <c r="L1" s="12" t="s">
        <v>92</v>
      </c>
    </row>
    <row r="2" spans="1:12" x14ac:dyDescent="0.3">
      <c r="A2" s="12" t="s">
        <v>53</v>
      </c>
      <c r="B2" s="12" t="s">
        <v>54</v>
      </c>
      <c r="C2" s="13" t="s">
        <v>55</v>
      </c>
      <c r="D2" s="110" t="s">
        <v>56</v>
      </c>
      <c r="E2" s="110"/>
    </row>
    <row r="3" spans="1:12" ht="15" customHeight="1" x14ac:dyDescent="0.3">
      <c r="A3" s="12" t="s">
        <v>61</v>
      </c>
      <c r="D3" s="14"/>
      <c r="E3" s="14"/>
    </row>
    <row r="4" spans="1:12" s="15" customFormat="1" x14ac:dyDescent="0.3">
      <c r="A4" s="15" t="s">
        <v>62</v>
      </c>
      <c r="B4" s="15">
        <v>14.5</v>
      </c>
      <c r="C4" s="16" t="s">
        <v>102</v>
      </c>
      <c r="D4" s="15">
        <f>E4</f>
        <v>15.225000000000001</v>
      </c>
      <c r="E4" s="15">
        <f>105%*B4</f>
        <v>15.225000000000001</v>
      </c>
      <c r="F4" s="15">
        <f>(D4+E4)/2</f>
        <v>15.225000000000001</v>
      </c>
      <c r="G4" s="15">
        <f>F4*105%</f>
        <v>15.986250000000002</v>
      </c>
      <c r="H4" s="15">
        <f t="shared" ref="H4:L4" si="0">G4*105%</f>
        <v>16.785562500000001</v>
      </c>
      <c r="I4" s="15">
        <f t="shared" si="0"/>
        <v>17.624840625000001</v>
      </c>
      <c r="J4" s="15">
        <f t="shared" si="0"/>
        <v>18.506082656250001</v>
      </c>
      <c r="K4" s="15">
        <f t="shared" si="0"/>
        <v>19.4313867890625</v>
      </c>
      <c r="L4" s="15">
        <f t="shared" si="0"/>
        <v>20.402956128515626</v>
      </c>
    </row>
    <row r="5" spans="1:12" ht="57.6" x14ac:dyDescent="0.3">
      <c r="A5" s="12" t="s">
        <v>57</v>
      </c>
      <c r="B5" s="12">
        <v>0</v>
      </c>
      <c r="C5" s="13" t="s">
        <v>81</v>
      </c>
      <c r="D5" s="12">
        <f>E5</f>
        <v>0</v>
      </c>
      <c r="E5" s="12">
        <f>115%*B5</f>
        <v>0</v>
      </c>
      <c r="F5" s="12">
        <v>0</v>
      </c>
      <c r="G5" s="12">
        <f>F5*108%</f>
        <v>0</v>
      </c>
      <c r="H5" s="12">
        <f t="shared" ref="H5:L5" si="1">G5*108%</f>
        <v>0</v>
      </c>
      <c r="I5" s="12">
        <f t="shared" si="1"/>
        <v>0</v>
      </c>
      <c r="J5" s="12">
        <f t="shared" si="1"/>
        <v>0</v>
      </c>
      <c r="K5" s="12">
        <f t="shared" si="1"/>
        <v>0</v>
      </c>
      <c r="L5" s="12">
        <f t="shared" si="1"/>
        <v>0</v>
      </c>
    </row>
    <row r="6" spans="1:12" s="15" customFormat="1" ht="72" x14ac:dyDescent="0.3">
      <c r="A6" s="15" t="s">
        <v>60</v>
      </c>
      <c r="B6" s="15">
        <f>(720+180)*14.5</f>
        <v>13050</v>
      </c>
      <c r="C6" s="16" t="s">
        <v>129</v>
      </c>
      <c r="F6" s="15">
        <f>F4*(720+190-180)</f>
        <v>11114.250000000002</v>
      </c>
      <c r="G6" s="15">
        <f>G4*(720+190-180+200-180)</f>
        <v>11989.687500000002</v>
      </c>
      <c r="H6" s="15">
        <f>H4*(720+190-180+200-180+210-180)</f>
        <v>13092.73875</v>
      </c>
      <c r="I6" s="15">
        <f>I4*(720+190-180+200-180+210-180+220-190)</f>
        <v>14276.12090625</v>
      </c>
      <c r="J6" s="15">
        <f>J4*(720+190-180+200-180+210-180+220-190+230-200)</f>
        <v>15545.109431250001</v>
      </c>
      <c r="K6" s="15">
        <f>K4*(720+190-180+200-180+210-180+220-190+230-200+240-210)</f>
        <v>16905.306506484376</v>
      </c>
      <c r="L6" s="15">
        <f>L4*(720+190-180+200-180+210-180+220-190+230-200+240-210+250-220)</f>
        <v>18362.660515664065</v>
      </c>
    </row>
    <row r="7" spans="1:12" s="17" customFormat="1" x14ac:dyDescent="0.3">
      <c r="A7" s="17" t="s">
        <v>103</v>
      </c>
      <c r="C7" s="18"/>
      <c r="F7" s="17">
        <f>SUM(F4:F6)</f>
        <v>11129.475000000002</v>
      </c>
      <c r="G7" s="17">
        <f>SUM(G4:G6)</f>
        <v>12005.673750000002</v>
      </c>
      <c r="H7" s="17">
        <f t="shared" ref="H7:L7" si="2">SUM(H4:H6)</f>
        <v>13109.5243125</v>
      </c>
      <c r="I7" s="17">
        <f t="shared" si="2"/>
        <v>14293.745746875</v>
      </c>
      <c r="J7" s="17">
        <f t="shared" si="2"/>
        <v>15563.61551390625</v>
      </c>
      <c r="K7" s="17">
        <f t="shared" si="2"/>
        <v>16924.737893273439</v>
      </c>
      <c r="L7" s="17">
        <f t="shared" si="2"/>
        <v>18383.063471792582</v>
      </c>
    </row>
    <row r="8" spans="1:12" x14ac:dyDescent="0.3">
      <c r="A8" s="12" t="s">
        <v>63</v>
      </c>
    </row>
    <row r="9" spans="1:12" ht="28.8" x14ac:dyDescent="0.3">
      <c r="A9" s="12" t="s">
        <v>58</v>
      </c>
      <c r="B9" s="12">
        <v>17.149999999999999</v>
      </c>
      <c r="C9" s="13" t="s">
        <v>82</v>
      </c>
      <c r="D9" s="12">
        <f>E9</f>
        <v>12.004999999999999</v>
      </c>
      <c r="E9" s="12">
        <f>(70%)*B9</f>
        <v>12.004999999999999</v>
      </c>
      <c r="F9" s="12">
        <v>0</v>
      </c>
      <c r="G9" s="12">
        <f>F9*105%</f>
        <v>0</v>
      </c>
      <c r="H9" s="12">
        <f t="shared" ref="H9:L9" si="3">G9*105%</f>
        <v>0</v>
      </c>
      <c r="I9" s="12">
        <f t="shared" si="3"/>
        <v>0</v>
      </c>
      <c r="J9" s="12">
        <f t="shared" si="3"/>
        <v>0</v>
      </c>
      <c r="K9" s="12">
        <f t="shared" si="3"/>
        <v>0</v>
      </c>
      <c r="L9" s="12">
        <f t="shared" si="3"/>
        <v>0</v>
      </c>
    </row>
    <row r="10" spans="1:12" ht="28.8" x14ac:dyDescent="0.3">
      <c r="A10" s="12" t="s">
        <v>59</v>
      </c>
      <c r="B10" s="12">
        <v>91.02</v>
      </c>
      <c r="C10" s="13" t="s">
        <v>83</v>
      </c>
      <c r="D10" s="12">
        <f>E10</f>
        <v>72.816000000000003</v>
      </c>
      <c r="E10" s="12">
        <f>(80%)*B10</f>
        <v>72.816000000000003</v>
      </c>
      <c r="F10" s="12">
        <v>0</v>
      </c>
      <c r="G10" s="12">
        <f>F10*105%</f>
        <v>0</v>
      </c>
      <c r="H10" s="12">
        <f t="shared" ref="H10:L10" si="4">G10*105%</f>
        <v>0</v>
      </c>
      <c r="I10" s="12">
        <f t="shared" si="4"/>
        <v>0</v>
      </c>
      <c r="J10" s="12">
        <f t="shared" si="4"/>
        <v>0</v>
      </c>
      <c r="K10" s="12">
        <f t="shared" si="4"/>
        <v>0</v>
      </c>
      <c r="L10" s="12">
        <f t="shared" si="4"/>
        <v>0</v>
      </c>
    </row>
    <row r="11" spans="1:12" x14ac:dyDescent="0.3">
      <c r="A11" s="12" t="s">
        <v>64</v>
      </c>
      <c r="F11" s="12">
        <f>SUM(F9:F10)</f>
        <v>0</v>
      </c>
      <c r="G11" s="12">
        <f>SUM(G9:G10)</f>
        <v>0</v>
      </c>
      <c r="H11" s="12">
        <f t="shared" ref="H11:L11" si="5">SUM(H9:H10)</f>
        <v>0</v>
      </c>
      <c r="I11" s="12">
        <f t="shared" si="5"/>
        <v>0</v>
      </c>
      <c r="J11" s="12">
        <f t="shared" si="5"/>
        <v>0</v>
      </c>
      <c r="K11" s="12">
        <f t="shared" si="5"/>
        <v>0</v>
      </c>
      <c r="L11" s="12">
        <f t="shared" si="5"/>
        <v>0</v>
      </c>
    </row>
    <row r="12" spans="1:12" s="15" customFormat="1" x14ac:dyDescent="0.3">
      <c r="A12" s="15" t="s">
        <v>66</v>
      </c>
      <c r="C12" s="16"/>
      <c r="F12" s="15">
        <f>F6+F11</f>
        <v>11114.250000000002</v>
      </c>
      <c r="G12" s="15">
        <f t="shared" ref="G12:L12" si="6">G6+G11</f>
        <v>11989.687500000002</v>
      </c>
      <c r="H12" s="15">
        <f t="shared" si="6"/>
        <v>13092.73875</v>
      </c>
      <c r="I12" s="15">
        <f t="shared" si="6"/>
        <v>14276.12090625</v>
      </c>
      <c r="J12" s="15">
        <f t="shared" si="6"/>
        <v>15545.109431250001</v>
      </c>
      <c r="K12" s="15">
        <f t="shared" si="6"/>
        <v>16905.306506484376</v>
      </c>
      <c r="L12" s="15">
        <f t="shared" si="6"/>
        <v>18362.660515664065</v>
      </c>
    </row>
    <row r="13" spans="1:12" s="19" customFormat="1" x14ac:dyDescent="0.3">
      <c r="A13" s="19" t="s">
        <v>74</v>
      </c>
      <c r="C13" s="20"/>
      <c r="F13" s="19">
        <f>SUM(F5:F6)-SUM(B5:B6)</f>
        <v>-1935.7499999999982</v>
      </c>
      <c r="G13" s="19">
        <f>SUM(G5:G6)-SUM(F5:F6)</f>
        <v>875.4375</v>
      </c>
      <c r="H13" s="19">
        <f t="shared" ref="H13:L13" si="7">SUM(H5:H6)-SUM(G5:G6)</f>
        <v>1103.0512499999986</v>
      </c>
      <c r="I13" s="19">
        <f t="shared" si="7"/>
        <v>1183.3821562499998</v>
      </c>
      <c r="J13" s="19">
        <f t="shared" si="7"/>
        <v>1268.9885250000007</v>
      </c>
      <c r="K13" s="19">
        <f t="shared" si="7"/>
        <v>1360.197075234375</v>
      </c>
      <c r="L13" s="19">
        <f t="shared" si="7"/>
        <v>1457.3540091796895</v>
      </c>
    </row>
    <row r="14" spans="1:12" s="15" customFormat="1" x14ac:dyDescent="0.3">
      <c r="A14" s="15" t="s">
        <v>67</v>
      </c>
      <c r="C14" s="16"/>
      <c r="F14" s="15">
        <v>1230.5999999999999</v>
      </c>
      <c r="G14" s="15">
        <v>552</v>
      </c>
      <c r="H14" s="15">
        <v>552</v>
      </c>
      <c r="I14" s="15">
        <v>552</v>
      </c>
      <c r="J14" s="15">
        <v>552</v>
      </c>
      <c r="K14" s="15">
        <v>552</v>
      </c>
      <c r="L14" s="15">
        <v>552</v>
      </c>
    </row>
    <row r="15" spans="1:12" s="15" customFormat="1" x14ac:dyDescent="0.3">
      <c r="A15" s="15" t="s">
        <v>80</v>
      </c>
      <c r="C15" s="16"/>
      <c r="F15" s="15">
        <f t="shared" ref="F15:L15" si="8">F13-F14+85</f>
        <v>-3081.3499999999981</v>
      </c>
      <c r="G15" s="15">
        <f t="shared" si="8"/>
        <v>408.4375</v>
      </c>
      <c r="H15" s="15">
        <f t="shared" si="8"/>
        <v>636.05124999999862</v>
      </c>
      <c r="I15" s="15">
        <f t="shared" si="8"/>
        <v>716.38215624999975</v>
      </c>
      <c r="J15" s="15">
        <f t="shared" si="8"/>
        <v>801.98852500000066</v>
      </c>
      <c r="K15" s="15">
        <f t="shared" si="8"/>
        <v>893.19707523437501</v>
      </c>
      <c r="L15" s="15">
        <f t="shared" si="8"/>
        <v>990.35400917968946</v>
      </c>
    </row>
    <row r="16" spans="1:12" s="15" customFormat="1" ht="16.8" customHeight="1" x14ac:dyDescent="0.3">
      <c r="A16" s="15" t="s">
        <v>84</v>
      </c>
      <c r="C16" s="16"/>
      <c r="F16" s="15">
        <f>SUM(F15:L15)/F14 *100%</f>
        <v>1.1092641928035638</v>
      </c>
      <c r="G16" s="21" t="s">
        <v>93</v>
      </c>
    </row>
    <row r="17" spans="1:12" s="15" customFormat="1" x14ac:dyDescent="0.3">
      <c r="A17" s="15" t="s">
        <v>85</v>
      </c>
      <c r="C17" s="16"/>
      <c r="F17" s="22">
        <f>NPV(10%,F20:L20)</f>
        <v>13864189.448664512</v>
      </c>
      <c r="G17" s="15" t="s">
        <v>94</v>
      </c>
    </row>
    <row r="18" spans="1:12" s="15" customFormat="1" x14ac:dyDescent="0.3">
      <c r="A18" s="15" t="s">
        <v>104</v>
      </c>
      <c r="C18" s="16"/>
      <c r="F18" s="23"/>
    </row>
    <row r="19" spans="1:12" s="15" customFormat="1" x14ac:dyDescent="0.3">
      <c r="C19" s="16"/>
    </row>
    <row r="20" spans="1:12" s="15" customFormat="1" x14ac:dyDescent="0.3">
      <c r="A20" s="15" t="s">
        <v>86</v>
      </c>
      <c r="C20" s="16"/>
      <c r="F20" s="35">
        <f>F15*1000000</f>
        <v>-3081349999.9999981</v>
      </c>
      <c r="G20" s="35">
        <f t="shared" ref="G20:L20" si="9">G15*1000000</f>
        <v>408437500</v>
      </c>
      <c r="H20" s="35">
        <f t="shared" si="9"/>
        <v>636051249.99999857</v>
      </c>
      <c r="I20" s="35">
        <f t="shared" si="9"/>
        <v>716382156.24999976</v>
      </c>
      <c r="J20" s="35">
        <f t="shared" si="9"/>
        <v>801988525.00000072</v>
      </c>
      <c r="K20" s="35">
        <f t="shared" si="9"/>
        <v>893197075.234375</v>
      </c>
      <c r="L20" s="35">
        <f t="shared" si="9"/>
        <v>990354009.17968941</v>
      </c>
    </row>
  </sheetData>
  <mergeCells count="1">
    <mergeCell ref="D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FD7F1-11C1-4956-8515-EF30F6ADB2F9}">
  <dimension ref="A1:IM55"/>
  <sheetViews>
    <sheetView tabSelected="1" topLeftCell="F1" zoomScale="71" zoomScaleNormal="117" workbookViewId="0">
      <selection activeCell="Y23" sqref="Y23"/>
    </sheetView>
  </sheetViews>
  <sheetFormatPr defaultRowHeight="14.4" x14ac:dyDescent="0.3"/>
  <cols>
    <col min="1" max="1" width="28.109375" style="26" bestFit="1" customWidth="1"/>
    <col min="2" max="2" width="15.44140625" style="26" bestFit="1" customWidth="1"/>
    <col min="3" max="3" width="18.5546875" style="25" bestFit="1" customWidth="1"/>
    <col min="4" max="4" width="17.5546875" style="36" bestFit="1" customWidth="1"/>
    <col min="5" max="5" width="18.109375" style="24" bestFit="1" customWidth="1"/>
    <col min="6" max="6" width="17.44140625" style="25" bestFit="1" customWidth="1"/>
    <col min="7" max="7" width="12.6640625" style="26" bestFit="1" customWidth="1"/>
    <col min="8" max="8" width="14" style="26" bestFit="1" customWidth="1"/>
    <col min="9" max="10" width="10.21875" style="27" bestFit="1" customWidth="1"/>
    <col min="11" max="11" width="16" style="27" bestFit="1" customWidth="1"/>
    <col min="12" max="12" width="12.33203125" style="27" bestFit="1" customWidth="1"/>
    <col min="13" max="13" width="10.21875" style="27" bestFit="1" customWidth="1"/>
    <col min="14" max="14" width="10" style="27" customWidth="1"/>
    <col min="15" max="15" width="9.5546875" style="28" customWidth="1"/>
    <col min="16" max="16" width="23.5546875" style="27" bestFit="1" customWidth="1"/>
    <col min="17" max="18" width="9.6640625" style="27" bestFit="1" customWidth="1"/>
    <col min="19" max="23" width="10.77734375" style="27" bestFit="1" customWidth="1"/>
    <col min="24" max="24" width="12.5546875" style="27" bestFit="1" customWidth="1"/>
    <col min="25" max="25" width="11.109375" style="27" bestFit="1" customWidth="1"/>
    <col min="26" max="16384" width="8.88671875" style="27"/>
  </cols>
  <sheetData>
    <row r="1" spans="1:247" ht="18" x14ac:dyDescent="0.3">
      <c r="A1" s="41" t="s">
        <v>122</v>
      </c>
    </row>
    <row r="2" spans="1:247" ht="23.4" x14ac:dyDescent="0.3">
      <c r="A2" s="42" t="s">
        <v>105</v>
      </c>
      <c r="P2" s="43" t="s">
        <v>126</v>
      </c>
    </row>
    <row r="3" spans="1:247" s="29" customFormat="1" x14ac:dyDescent="0.3">
      <c r="A3" s="44" t="s">
        <v>78</v>
      </c>
      <c r="B3" s="44"/>
      <c r="C3" s="45"/>
      <c r="D3" s="111">
        <v>0</v>
      </c>
      <c r="E3" s="111"/>
      <c r="F3" s="111"/>
      <c r="G3" s="44"/>
      <c r="H3" s="44"/>
      <c r="I3" s="46">
        <v>1</v>
      </c>
      <c r="J3" s="46">
        <v>2</v>
      </c>
      <c r="K3" s="46">
        <v>3</v>
      </c>
      <c r="L3" s="46">
        <v>4</v>
      </c>
      <c r="M3" s="46">
        <v>5</v>
      </c>
      <c r="N3" s="46">
        <v>6</v>
      </c>
      <c r="O3" s="47"/>
      <c r="P3" s="46" t="s">
        <v>78</v>
      </c>
      <c r="Q3" s="46">
        <v>0</v>
      </c>
      <c r="R3" s="46">
        <v>1</v>
      </c>
      <c r="S3" s="46">
        <v>2</v>
      </c>
      <c r="T3" s="46">
        <v>3</v>
      </c>
      <c r="U3" s="46">
        <v>4</v>
      </c>
      <c r="V3" s="46">
        <v>5</v>
      </c>
      <c r="W3" s="46">
        <v>6</v>
      </c>
      <c r="X3" s="30" t="s">
        <v>154</v>
      </c>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30"/>
      <c r="EQ3" s="30"/>
      <c r="ER3" s="30"/>
      <c r="ES3" s="30"/>
      <c r="ET3" s="30"/>
      <c r="EU3" s="30"/>
      <c r="EV3" s="30"/>
      <c r="EW3" s="30"/>
      <c r="EX3" s="30"/>
      <c r="EY3" s="30"/>
      <c r="EZ3" s="30"/>
      <c r="FA3" s="30"/>
      <c r="FB3" s="30"/>
      <c r="FC3" s="30"/>
      <c r="FD3" s="30"/>
      <c r="FE3" s="30"/>
      <c r="FF3" s="30"/>
      <c r="FG3" s="30"/>
      <c r="FH3" s="30"/>
      <c r="FI3" s="30"/>
      <c r="FJ3" s="30"/>
      <c r="FK3" s="30"/>
      <c r="FL3" s="30"/>
      <c r="FM3" s="30"/>
      <c r="FN3" s="30"/>
      <c r="FO3" s="30"/>
      <c r="FP3" s="30"/>
      <c r="FQ3" s="30"/>
      <c r="FR3" s="30"/>
      <c r="FS3" s="30"/>
      <c r="FT3" s="30"/>
      <c r="FU3" s="30"/>
      <c r="FV3" s="30"/>
      <c r="FW3" s="30"/>
      <c r="FX3" s="30"/>
      <c r="FY3" s="30"/>
      <c r="FZ3" s="30"/>
      <c r="GA3" s="30"/>
      <c r="GB3" s="30"/>
      <c r="GC3" s="30"/>
      <c r="GD3" s="30"/>
      <c r="GE3" s="30"/>
      <c r="GF3" s="30"/>
      <c r="GG3" s="30"/>
      <c r="GH3" s="30"/>
      <c r="GI3" s="30"/>
      <c r="GJ3" s="30"/>
      <c r="GK3" s="30"/>
      <c r="GL3" s="30"/>
      <c r="GM3" s="30"/>
      <c r="GN3" s="30"/>
      <c r="GO3" s="30"/>
      <c r="GP3" s="30"/>
      <c r="GQ3" s="30"/>
      <c r="GR3" s="30"/>
      <c r="GS3" s="30"/>
      <c r="GT3" s="30"/>
      <c r="GU3" s="30"/>
      <c r="GV3" s="30"/>
      <c r="GW3" s="30"/>
      <c r="GX3" s="30"/>
      <c r="GY3" s="30"/>
      <c r="GZ3" s="30"/>
      <c r="HA3" s="30"/>
      <c r="HB3" s="30"/>
      <c r="HC3" s="30"/>
      <c r="HD3" s="30"/>
      <c r="HE3" s="30"/>
      <c r="HF3" s="30"/>
      <c r="HG3" s="30"/>
      <c r="HH3" s="30"/>
      <c r="HI3" s="30"/>
      <c r="HJ3" s="30"/>
      <c r="HK3" s="30"/>
      <c r="HL3" s="30"/>
      <c r="HM3" s="30"/>
      <c r="HN3" s="30"/>
      <c r="HO3" s="30"/>
      <c r="HP3" s="30"/>
      <c r="HQ3" s="30"/>
      <c r="HR3" s="30"/>
      <c r="HS3" s="30"/>
      <c r="HT3" s="30"/>
      <c r="HU3" s="30"/>
      <c r="HV3" s="30"/>
      <c r="HW3" s="30"/>
      <c r="HX3" s="30"/>
      <c r="HY3" s="30"/>
      <c r="HZ3" s="30"/>
      <c r="IA3" s="30"/>
      <c r="IB3" s="30"/>
      <c r="IC3" s="30"/>
      <c r="ID3" s="30"/>
      <c r="IE3" s="30"/>
      <c r="IF3" s="30"/>
      <c r="IG3" s="30"/>
      <c r="IH3" s="30"/>
      <c r="II3" s="30"/>
      <c r="IJ3" s="30"/>
      <c r="IK3" s="30"/>
      <c r="IL3" s="30"/>
      <c r="IM3" s="30"/>
    </row>
    <row r="4" spans="1:247" s="31" customFormat="1" x14ac:dyDescent="0.3">
      <c r="A4" s="48"/>
      <c r="B4" s="48" t="s">
        <v>118</v>
      </c>
      <c r="C4" s="49" t="s">
        <v>107</v>
      </c>
      <c r="D4" s="50" t="s">
        <v>125</v>
      </c>
      <c r="E4" s="51" t="s">
        <v>123</v>
      </c>
      <c r="F4" s="52" t="s">
        <v>124</v>
      </c>
      <c r="G4" s="53" t="s">
        <v>119</v>
      </c>
      <c r="H4" s="53" t="s">
        <v>118</v>
      </c>
      <c r="I4" s="53" t="s">
        <v>123</v>
      </c>
      <c r="J4" s="47" t="s">
        <v>123</v>
      </c>
      <c r="K4" s="47" t="s">
        <v>123</v>
      </c>
      <c r="L4" s="47" t="s">
        <v>123</v>
      </c>
      <c r="M4" s="47" t="s">
        <v>123</v>
      </c>
      <c r="N4" s="47" t="s">
        <v>123</v>
      </c>
      <c r="O4" s="47"/>
      <c r="P4" s="47"/>
      <c r="Q4" s="54"/>
      <c r="R4" s="54"/>
      <c r="S4" s="54"/>
      <c r="T4" s="54"/>
      <c r="U4" s="54"/>
      <c r="V4" s="54"/>
      <c r="W4" s="54"/>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c r="EA4" s="30"/>
      <c r="EB4" s="30"/>
      <c r="EC4" s="30"/>
      <c r="ED4" s="30"/>
      <c r="EE4" s="30"/>
      <c r="EF4" s="30"/>
      <c r="EG4" s="30"/>
      <c r="EH4" s="30"/>
      <c r="EI4" s="30"/>
      <c r="EJ4" s="30"/>
      <c r="EK4" s="30"/>
      <c r="EL4" s="30"/>
      <c r="EM4" s="30"/>
      <c r="EN4" s="30"/>
      <c r="EO4" s="30"/>
      <c r="EP4" s="30"/>
      <c r="EQ4" s="30"/>
      <c r="ER4" s="30"/>
      <c r="ES4" s="30"/>
      <c r="ET4" s="30"/>
      <c r="EU4" s="30"/>
      <c r="EV4" s="30"/>
      <c r="EW4" s="30"/>
      <c r="EX4" s="30"/>
      <c r="EY4" s="30"/>
      <c r="EZ4" s="30"/>
      <c r="FA4" s="30"/>
      <c r="FB4" s="30"/>
      <c r="FC4" s="30"/>
      <c r="FD4" s="30"/>
      <c r="FE4" s="30"/>
      <c r="FF4" s="30"/>
      <c r="FG4" s="30"/>
      <c r="FH4" s="30"/>
      <c r="FI4" s="30"/>
      <c r="FJ4" s="30"/>
      <c r="FK4" s="30"/>
      <c r="FL4" s="30"/>
      <c r="FM4" s="30"/>
      <c r="FN4" s="30"/>
      <c r="FO4" s="30"/>
      <c r="FP4" s="30"/>
      <c r="FQ4" s="30"/>
      <c r="FR4" s="30"/>
      <c r="FS4" s="30"/>
      <c r="FT4" s="30"/>
      <c r="FU4" s="30"/>
      <c r="FV4" s="30"/>
      <c r="FW4" s="30"/>
      <c r="FX4" s="30"/>
      <c r="FY4" s="30"/>
      <c r="FZ4" s="30"/>
      <c r="GA4" s="30"/>
      <c r="GB4" s="30"/>
      <c r="GC4" s="30"/>
      <c r="GD4" s="30"/>
      <c r="GE4" s="30"/>
      <c r="GF4" s="30"/>
      <c r="GG4" s="30"/>
      <c r="GH4" s="30"/>
      <c r="GI4" s="30"/>
      <c r="GJ4" s="30"/>
      <c r="GK4" s="30"/>
      <c r="GL4" s="30"/>
      <c r="GM4" s="30"/>
      <c r="GN4" s="30"/>
      <c r="GO4" s="30"/>
      <c r="GP4" s="30"/>
      <c r="GQ4" s="30"/>
      <c r="GR4" s="30"/>
      <c r="GS4" s="30"/>
      <c r="GT4" s="30"/>
      <c r="GU4" s="30"/>
      <c r="GV4" s="30"/>
      <c r="GW4" s="30"/>
      <c r="GX4" s="30"/>
      <c r="GY4" s="30"/>
      <c r="GZ4" s="30"/>
      <c r="HA4" s="30"/>
      <c r="HB4" s="30"/>
      <c r="HC4" s="30"/>
      <c r="HD4" s="30"/>
      <c r="HE4" s="30"/>
      <c r="HF4" s="30"/>
      <c r="HG4" s="30"/>
      <c r="HH4" s="30"/>
      <c r="HI4" s="30"/>
      <c r="HJ4" s="30"/>
      <c r="HK4" s="30"/>
      <c r="HL4" s="30"/>
      <c r="HM4" s="30"/>
      <c r="HN4" s="30"/>
      <c r="HO4" s="30"/>
      <c r="HP4" s="30"/>
      <c r="HQ4" s="30"/>
      <c r="HR4" s="30"/>
      <c r="HS4" s="30"/>
      <c r="HT4" s="30"/>
      <c r="HU4" s="30"/>
      <c r="HV4" s="30"/>
      <c r="HW4" s="30"/>
      <c r="HX4" s="30"/>
      <c r="HY4" s="30"/>
      <c r="HZ4" s="30"/>
      <c r="IA4" s="30"/>
      <c r="IB4" s="30"/>
      <c r="IC4" s="30"/>
      <c r="ID4" s="30"/>
      <c r="IE4" s="30"/>
      <c r="IF4" s="30"/>
      <c r="IG4" s="30"/>
      <c r="IH4" s="30"/>
      <c r="II4" s="30"/>
      <c r="IJ4" s="30"/>
      <c r="IK4" s="30"/>
      <c r="IL4" s="30"/>
      <c r="IM4" s="30"/>
    </row>
    <row r="5" spans="1:247" s="32" customFormat="1" x14ac:dyDescent="0.3">
      <c r="A5" s="55" t="s">
        <v>106</v>
      </c>
      <c r="B5" s="55"/>
      <c r="C5" s="56"/>
      <c r="D5" s="57"/>
      <c r="E5" s="58"/>
      <c r="F5" s="56"/>
      <c r="G5" s="55"/>
      <c r="H5" s="55"/>
      <c r="I5" s="59"/>
      <c r="J5" s="59"/>
      <c r="K5" s="59"/>
      <c r="L5" s="59"/>
      <c r="M5" s="59"/>
      <c r="N5" s="59"/>
      <c r="O5" s="60"/>
      <c r="P5" s="59" t="s">
        <v>127</v>
      </c>
      <c r="Q5" s="60"/>
      <c r="R5" s="60"/>
      <c r="S5" s="60"/>
      <c r="T5" s="60"/>
      <c r="U5" s="60"/>
      <c r="V5" s="60"/>
      <c r="W5" s="60"/>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c r="GQ5" s="28"/>
      <c r="GR5" s="28"/>
      <c r="GS5" s="28"/>
      <c r="GT5" s="28"/>
      <c r="GU5" s="28"/>
      <c r="GV5" s="28"/>
      <c r="GW5" s="28"/>
      <c r="GX5" s="28"/>
      <c r="GY5" s="28"/>
      <c r="GZ5" s="28"/>
      <c r="HA5" s="28"/>
      <c r="HB5" s="28"/>
      <c r="HC5" s="28"/>
      <c r="HD5" s="28"/>
      <c r="HE5" s="28"/>
      <c r="HF5" s="28"/>
      <c r="HG5" s="28"/>
      <c r="HH5" s="28"/>
      <c r="HI5" s="28"/>
      <c r="HJ5" s="28"/>
      <c r="HK5" s="28"/>
      <c r="HL5" s="28"/>
      <c r="HM5" s="28"/>
      <c r="HN5" s="28"/>
      <c r="HO5" s="28"/>
      <c r="HP5" s="28"/>
      <c r="HQ5" s="28"/>
      <c r="HR5" s="28"/>
      <c r="HS5" s="28"/>
      <c r="HT5" s="28"/>
      <c r="HU5" s="28"/>
      <c r="HV5" s="28"/>
      <c r="HW5" s="28"/>
      <c r="HX5" s="28"/>
      <c r="HY5" s="28"/>
      <c r="HZ5" s="28"/>
      <c r="IA5" s="28"/>
      <c r="IB5" s="28"/>
      <c r="IC5" s="28"/>
      <c r="ID5" s="28"/>
      <c r="IE5" s="28"/>
      <c r="IF5" s="28"/>
      <c r="IG5" s="28"/>
      <c r="IH5" s="28"/>
      <c r="II5" s="28"/>
      <c r="IJ5" s="28"/>
      <c r="IK5" s="28"/>
      <c r="IL5" s="28"/>
      <c r="IM5" s="28"/>
    </row>
    <row r="6" spans="1:247" x14ac:dyDescent="0.3">
      <c r="A6" s="61" t="s">
        <v>7</v>
      </c>
      <c r="B6" s="61">
        <v>1</v>
      </c>
      <c r="C6" s="62">
        <v>50</v>
      </c>
      <c r="D6" s="63">
        <v>10.5</v>
      </c>
      <c r="E6" s="64">
        <f>D6*C6*B6</f>
        <v>525</v>
      </c>
      <c r="F6" s="62">
        <f>1.5*H6*C6</f>
        <v>0</v>
      </c>
      <c r="G6" s="61">
        <v>12</v>
      </c>
      <c r="H6" s="61">
        <v>0</v>
      </c>
      <c r="I6" s="60">
        <f>H6*C6*G6</f>
        <v>0</v>
      </c>
      <c r="J6" s="65">
        <v>0</v>
      </c>
      <c r="K6" s="65">
        <v>0</v>
      </c>
      <c r="L6" s="65">
        <v>0</v>
      </c>
      <c r="M6" s="65">
        <v>0</v>
      </c>
      <c r="N6" s="65">
        <v>0</v>
      </c>
      <c r="O6" s="60"/>
      <c r="P6" s="65" t="s">
        <v>130</v>
      </c>
      <c r="Q6" s="66">
        <f>14.5+14.5*5%</f>
        <v>15.225</v>
      </c>
      <c r="R6" s="66">
        <f>Q6+Q6*5%</f>
        <v>15.98625</v>
      </c>
      <c r="S6" s="66">
        <f t="shared" ref="S6:W6" si="0">R6+R6*5%</f>
        <v>16.785562500000001</v>
      </c>
      <c r="T6" s="66">
        <f t="shared" si="0"/>
        <v>17.624840625000001</v>
      </c>
      <c r="U6" s="66">
        <f t="shared" si="0"/>
        <v>18.506082656250001</v>
      </c>
      <c r="V6" s="66">
        <f t="shared" si="0"/>
        <v>19.4313867890625</v>
      </c>
      <c r="W6" s="66">
        <f t="shared" si="0"/>
        <v>20.402956128515626</v>
      </c>
      <c r="X6" s="37">
        <v>14.5</v>
      </c>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c r="HL6" s="28"/>
      <c r="HM6" s="28"/>
      <c r="HN6" s="28"/>
      <c r="HO6" s="28"/>
      <c r="HP6" s="28"/>
      <c r="HQ6" s="28"/>
      <c r="HR6" s="28"/>
      <c r="HS6" s="28"/>
      <c r="HT6" s="28"/>
      <c r="HU6" s="28"/>
      <c r="HV6" s="28"/>
      <c r="HW6" s="28"/>
      <c r="HX6" s="28"/>
      <c r="HY6" s="28"/>
      <c r="HZ6" s="28"/>
      <c r="IA6" s="28"/>
      <c r="IB6" s="28"/>
      <c r="IC6" s="28"/>
      <c r="ID6" s="28"/>
      <c r="IE6" s="28"/>
      <c r="IF6" s="28"/>
      <c r="IG6" s="28"/>
      <c r="IH6" s="28"/>
      <c r="II6" s="28"/>
      <c r="IJ6" s="28"/>
      <c r="IK6" s="28"/>
      <c r="IL6" s="28"/>
      <c r="IM6" s="28"/>
    </row>
    <row r="7" spans="1:247" x14ac:dyDescent="0.3">
      <c r="A7" s="61" t="s">
        <v>8</v>
      </c>
      <c r="B7" s="61">
        <v>2</v>
      </c>
      <c r="C7" s="62">
        <v>24</v>
      </c>
      <c r="D7" s="63">
        <v>10.5</v>
      </c>
      <c r="E7" s="64">
        <f t="shared" ref="E7:E11" si="1">D7*C7*B7</f>
        <v>504</v>
      </c>
      <c r="F7" s="62">
        <f t="shared" ref="F7:F11" si="2">1.5*H7*C7</f>
        <v>36</v>
      </c>
      <c r="G7" s="61">
        <v>12</v>
      </c>
      <c r="H7" s="61">
        <v>1</v>
      </c>
      <c r="I7" s="60">
        <f t="shared" ref="I7:I11" si="3">H7*C7*G7</f>
        <v>288</v>
      </c>
      <c r="J7" s="65">
        <v>288</v>
      </c>
      <c r="K7" s="65">
        <v>288</v>
      </c>
      <c r="L7" s="65">
        <v>288</v>
      </c>
      <c r="M7" s="65">
        <v>288</v>
      </c>
      <c r="N7" s="65">
        <v>288</v>
      </c>
      <c r="O7" s="60"/>
      <c r="P7" s="65" t="s">
        <v>128</v>
      </c>
      <c r="Q7" s="65">
        <f>576+154-144</f>
        <v>586</v>
      </c>
      <c r="R7" s="65">
        <f>Q7+164-144</f>
        <v>606</v>
      </c>
      <c r="S7" s="65">
        <f>R7+174-144</f>
        <v>636</v>
      </c>
      <c r="T7" s="65">
        <f>S7+184-144</f>
        <v>676</v>
      </c>
      <c r="U7" s="65">
        <f>T7+194-154</f>
        <v>716</v>
      </c>
      <c r="V7" s="65">
        <f>U7+204-164</f>
        <v>756</v>
      </c>
      <c r="W7" s="65">
        <f>V7+214-174</f>
        <v>796</v>
      </c>
      <c r="X7" s="28">
        <f>144*4</f>
        <v>576</v>
      </c>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c r="HL7" s="28"/>
      <c r="HM7" s="28"/>
      <c r="HN7" s="28"/>
      <c r="HO7" s="28"/>
      <c r="HP7" s="28"/>
      <c r="HQ7" s="28"/>
      <c r="HR7" s="28"/>
      <c r="HS7" s="28"/>
      <c r="HT7" s="28"/>
      <c r="HU7" s="28"/>
      <c r="HV7" s="28"/>
      <c r="HW7" s="28"/>
      <c r="HX7" s="28"/>
      <c r="HY7" s="28"/>
      <c r="HZ7" s="28"/>
      <c r="IA7" s="28"/>
      <c r="IB7" s="28"/>
      <c r="IC7" s="28"/>
      <c r="ID7" s="28"/>
      <c r="IE7" s="28"/>
      <c r="IF7" s="28"/>
      <c r="IG7" s="28"/>
      <c r="IH7" s="28"/>
      <c r="II7" s="28"/>
      <c r="IJ7" s="28"/>
      <c r="IK7" s="28"/>
      <c r="IL7" s="28"/>
      <c r="IM7" s="28"/>
    </row>
    <row r="8" spans="1:247" x14ac:dyDescent="0.3">
      <c r="A8" s="61" t="s">
        <v>117</v>
      </c>
      <c r="B8" s="61">
        <v>1</v>
      </c>
      <c r="C8" s="62">
        <v>8</v>
      </c>
      <c r="D8" s="63">
        <v>1</v>
      </c>
      <c r="E8" s="64">
        <f t="shared" si="1"/>
        <v>8</v>
      </c>
      <c r="F8" s="62">
        <f t="shared" si="2"/>
        <v>0</v>
      </c>
      <c r="G8" s="61">
        <v>12</v>
      </c>
      <c r="H8" s="61">
        <v>0</v>
      </c>
      <c r="I8" s="60">
        <f t="shared" si="3"/>
        <v>0</v>
      </c>
      <c r="J8" s="65">
        <v>0</v>
      </c>
      <c r="K8" s="65">
        <v>0</v>
      </c>
      <c r="L8" s="65">
        <v>0</v>
      </c>
      <c r="M8" s="65">
        <v>0</v>
      </c>
      <c r="N8" s="65">
        <v>0</v>
      </c>
      <c r="O8" s="60"/>
      <c r="P8" s="65"/>
      <c r="Q8" s="66"/>
      <c r="R8" s="66"/>
      <c r="S8" s="66"/>
      <c r="T8" s="66"/>
      <c r="U8" s="66"/>
      <c r="V8" s="66"/>
      <c r="W8" s="66"/>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B8" s="28"/>
      <c r="IC8" s="28"/>
      <c r="ID8" s="28"/>
      <c r="IE8" s="28"/>
      <c r="IF8" s="28"/>
      <c r="IG8" s="28"/>
      <c r="IH8" s="28"/>
      <c r="II8" s="28"/>
      <c r="IJ8" s="28"/>
      <c r="IK8" s="28"/>
      <c r="IL8" s="28"/>
      <c r="IM8" s="28"/>
    </row>
    <row r="9" spans="1:247" x14ac:dyDescent="0.3">
      <c r="A9" s="61" t="s">
        <v>116</v>
      </c>
      <c r="B9" s="61">
        <v>1</v>
      </c>
      <c r="C9" s="67">
        <v>35</v>
      </c>
      <c r="D9" s="63">
        <v>0</v>
      </c>
      <c r="E9" s="64">
        <v>0</v>
      </c>
      <c r="F9" s="62">
        <f t="shared" si="2"/>
        <v>52.5</v>
      </c>
      <c r="G9" s="61">
        <v>12</v>
      </c>
      <c r="H9" s="61">
        <v>1</v>
      </c>
      <c r="I9" s="60">
        <f>H9*C9*G9</f>
        <v>420</v>
      </c>
      <c r="J9" s="65">
        <v>420</v>
      </c>
      <c r="K9" s="65">
        <v>420</v>
      </c>
      <c r="L9" s="65">
        <v>420</v>
      </c>
      <c r="M9" s="65">
        <v>420</v>
      </c>
      <c r="N9" s="65">
        <v>420</v>
      </c>
      <c r="O9" s="60"/>
      <c r="P9" s="68" t="s">
        <v>138</v>
      </c>
      <c r="Q9" s="69">
        <f t="shared" ref="Q9:V9" si="4">Q6*Q7</f>
        <v>8921.85</v>
      </c>
      <c r="R9" s="69">
        <f t="shared" si="4"/>
        <v>9687.6674999999996</v>
      </c>
      <c r="S9" s="69">
        <f t="shared" si="4"/>
        <v>10675.617750000001</v>
      </c>
      <c r="T9" s="69">
        <f t="shared" si="4"/>
        <v>11914.392262500001</v>
      </c>
      <c r="U9" s="69">
        <f t="shared" si="4"/>
        <v>13250.355181875</v>
      </c>
      <c r="V9" s="69">
        <f t="shared" si="4"/>
        <v>14690.12841253125</v>
      </c>
      <c r="W9" s="69">
        <f>W6*W7</f>
        <v>16240.753078298438</v>
      </c>
      <c r="X9" s="69">
        <f>X6*X7</f>
        <v>8352</v>
      </c>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c r="HL9" s="28"/>
      <c r="HM9" s="28"/>
      <c r="HN9" s="28"/>
      <c r="HO9" s="28"/>
      <c r="HP9" s="28"/>
      <c r="HQ9" s="28"/>
      <c r="HR9" s="28"/>
      <c r="HS9" s="28"/>
      <c r="HT9" s="28"/>
      <c r="HU9" s="28"/>
      <c r="HV9" s="28"/>
      <c r="HW9" s="28"/>
      <c r="HX9" s="28"/>
      <c r="HY9" s="28"/>
      <c r="HZ9" s="28"/>
      <c r="IA9" s="28"/>
      <c r="IB9" s="28"/>
      <c r="IC9" s="28"/>
      <c r="ID9" s="28"/>
      <c r="IE9" s="28"/>
      <c r="IF9" s="28"/>
      <c r="IG9" s="28"/>
      <c r="IH9" s="28"/>
      <c r="II9" s="28"/>
      <c r="IJ9" s="28"/>
      <c r="IK9" s="28"/>
      <c r="IL9" s="28"/>
      <c r="IM9" s="28"/>
    </row>
    <row r="10" spans="1:247" x14ac:dyDescent="0.3">
      <c r="A10" s="70" t="s">
        <v>115</v>
      </c>
      <c r="B10" s="70">
        <v>2</v>
      </c>
      <c r="C10" s="67">
        <v>20</v>
      </c>
      <c r="D10" s="63">
        <v>10.5</v>
      </c>
      <c r="E10" s="64">
        <f t="shared" si="1"/>
        <v>420</v>
      </c>
      <c r="F10" s="62">
        <f t="shared" si="2"/>
        <v>0</v>
      </c>
      <c r="G10" s="61">
        <v>12</v>
      </c>
      <c r="H10" s="61">
        <v>0</v>
      </c>
      <c r="I10" s="60">
        <f t="shared" si="3"/>
        <v>0</v>
      </c>
      <c r="J10" s="65">
        <v>0</v>
      </c>
      <c r="K10" s="65">
        <v>0</v>
      </c>
      <c r="L10" s="65">
        <v>0</v>
      </c>
      <c r="M10" s="65">
        <v>0</v>
      </c>
      <c r="N10" s="65">
        <v>0</v>
      </c>
      <c r="O10" s="60"/>
      <c r="P10" s="100" t="s">
        <v>136</v>
      </c>
      <c r="Q10" s="101">
        <v>14.5</v>
      </c>
      <c r="R10" s="101">
        <f xml:space="preserve"> Q10 + Q10*5%</f>
        <v>15.225</v>
      </c>
      <c r="S10" s="101">
        <f t="shared" ref="S10:W10" si="5" xml:space="preserve"> R10 + R10*5%</f>
        <v>15.98625</v>
      </c>
      <c r="T10" s="101">
        <f t="shared" si="5"/>
        <v>16.785562500000001</v>
      </c>
      <c r="U10" s="101">
        <f t="shared" si="5"/>
        <v>17.624840625000001</v>
      </c>
      <c r="V10" s="101">
        <f t="shared" si="5"/>
        <v>18.506082656250001</v>
      </c>
      <c r="W10" s="101">
        <f t="shared" si="5"/>
        <v>19.4313867890625</v>
      </c>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c r="HL10" s="28"/>
      <c r="HM10" s="28"/>
      <c r="HN10" s="28"/>
      <c r="HO10" s="28"/>
      <c r="HP10" s="28"/>
      <c r="HQ10" s="28"/>
      <c r="HR10" s="28"/>
      <c r="HS10" s="28"/>
      <c r="HT10" s="28"/>
      <c r="HU10" s="28"/>
      <c r="HV10" s="28"/>
      <c r="HW10" s="28"/>
      <c r="HX10" s="28"/>
      <c r="HY10" s="28"/>
      <c r="HZ10" s="28"/>
      <c r="IA10" s="28"/>
      <c r="IB10" s="28"/>
      <c r="IC10" s="28"/>
      <c r="ID10" s="28"/>
      <c r="IE10" s="28"/>
      <c r="IF10" s="28"/>
      <c r="IG10" s="28"/>
      <c r="IH10" s="28"/>
      <c r="II10" s="28"/>
      <c r="IJ10" s="28"/>
      <c r="IK10" s="28"/>
      <c r="IL10" s="28"/>
      <c r="IM10" s="28"/>
    </row>
    <row r="11" spans="1:247" x14ac:dyDescent="0.3">
      <c r="A11" s="61" t="s">
        <v>90</v>
      </c>
      <c r="B11" s="61">
        <v>1</v>
      </c>
      <c r="C11" s="67">
        <v>19</v>
      </c>
      <c r="D11" s="63">
        <v>10.5</v>
      </c>
      <c r="E11" s="64">
        <f t="shared" si="1"/>
        <v>199.5</v>
      </c>
      <c r="F11" s="62">
        <f t="shared" si="2"/>
        <v>0</v>
      </c>
      <c r="G11" s="61">
        <v>12</v>
      </c>
      <c r="H11" s="61">
        <v>0</v>
      </c>
      <c r="I11" s="60">
        <f t="shared" si="3"/>
        <v>0</v>
      </c>
      <c r="J11" s="65">
        <v>0</v>
      </c>
      <c r="K11" s="65">
        <v>0</v>
      </c>
      <c r="L11" s="65">
        <v>0</v>
      </c>
      <c r="M11" s="65">
        <v>0</v>
      </c>
      <c r="N11" s="65">
        <v>0</v>
      </c>
      <c r="O11" s="60"/>
      <c r="P11" s="100" t="s">
        <v>137</v>
      </c>
      <c r="Q11" s="101">
        <f>180*80%*4</f>
        <v>576</v>
      </c>
      <c r="R11" s="101">
        <v>576</v>
      </c>
      <c r="S11" s="101">
        <v>576</v>
      </c>
      <c r="T11" s="101">
        <v>576</v>
      </c>
      <c r="U11" s="101">
        <v>576</v>
      </c>
      <c r="V11" s="101">
        <v>576</v>
      </c>
      <c r="W11" s="101">
        <v>576</v>
      </c>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c r="HL11" s="28"/>
      <c r="HM11" s="28"/>
      <c r="HN11" s="28"/>
      <c r="HO11" s="28"/>
      <c r="HP11" s="28"/>
      <c r="HQ11" s="28"/>
      <c r="HR11" s="28"/>
      <c r="HS11" s="28"/>
      <c r="HT11" s="28"/>
      <c r="HU11" s="28"/>
      <c r="HV11" s="28"/>
      <c r="HW11" s="28"/>
      <c r="HX11" s="28"/>
      <c r="HY11" s="28"/>
      <c r="HZ11" s="28"/>
      <c r="IA11" s="28"/>
      <c r="IB11" s="28"/>
      <c r="IC11" s="28"/>
      <c r="ID11" s="28"/>
      <c r="IE11" s="28"/>
      <c r="IF11" s="28"/>
      <c r="IG11" s="28"/>
      <c r="IH11" s="28"/>
      <c r="II11" s="28"/>
      <c r="IJ11" s="28"/>
      <c r="IK11" s="28"/>
      <c r="IL11" s="28"/>
      <c r="IM11" s="28"/>
    </row>
    <row r="12" spans="1:247" s="33" customFormat="1" x14ac:dyDescent="0.3">
      <c r="A12" s="71" t="s">
        <v>111</v>
      </c>
      <c r="B12" s="71"/>
      <c r="C12" s="72"/>
      <c r="D12" s="73"/>
      <c r="E12" s="74">
        <f>SUM(E6:E11)</f>
        <v>1656.5</v>
      </c>
      <c r="F12" s="74">
        <f>SUM(F6:F11)</f>
        <v>88.5</v>
      </c>
      <c r="G12" s="71"/>
      <c r="H12" s="71"/>
      <c r="I12" s="68">
        <f>SUM(I6:I11)</f>
        <v>708</v>
      </c>
      <c r="J12" s="68">
        <f t="shared" ref="J12:N12" si="6">SUM(J6:J11)</f>
        <v>708</v>
      </c>
      <c r="K12" s="68">
        <f t="shared" si="6"/>
        <v>708</v>
      </c>
      <c r="L12" s="68">
        <f t="shared" si="6"/>
        <v>708</v>
      </c>
      <c r="M12" s="68">
        <f t="shared" si="6"/>
        <v>708</v>
      </c>
      <c r="N12" s="68">
        <f t="shared" si="6"/>
        <v>708</v>
      </c>
      <c r="O12" s="60"/>
      <c r="P12" s="100"/>
      <c r="Q12" s="101"/>
      <c r="R12" s="101"/>
      <c r="S12" s="101"/>
      <c r="T12" s="101"/>
      <c r="U12" s="101"/>
      <c r="V12" s="101"/>
      <c r="W12" s="101"/>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c r="HL12" s="28"/>
      <c r="HM12" s="28"/>
      <c r="HN12" s="28"/>
      <c r="HO12" s="28"/>
      <c r="HP12" s="28"/>
      <c r="HQ12" s="28"/>
      <c r="HR12" s="28"/>
      <c r="HS12" s="28"/>
      <c r="HT12" s="28"/>
      <c r="HU12" s="28"/>
      <c r="HV12" s="28"/>
      <c r="HW12" s="28"/>
      <c r="HX12" s="28"/>
      <c r="HY12" s="28"/>
      <c r="HZ12" s="28"/>
      <c r="IA12" s="28"/>
      <c r="IB12" s="28"/>
      <c r="IC12" s="28"/>
      <c r="ID12" s="28"/>
      <c r="IE12" s="28"/>
      <c r="IF12" s="28"/>
      <c r="IG12" s="28"/>
      <c r="IH12" s="28"/>
      <c r="II12" s="28"/>
      <c r="IJ12" s="28"/>
      <c r="IK12" s="28"/>
      <c r="IL12" s="28"/>
      <c r="IM12" s="28"/>
    </row>
    <row r="13" spans="1:247" s="32" customFormat="1" x14ac:dyDescent="0.3">
      <c r="A13" s="55" t="s">
        <v>108</v>
      </c>
      <c r="B13" s="70"/>
      <c r="C13" s="67"/>
      <c r="D13" s="75"/>
      <c r="E13" s="76"/>
      <c r="F13" s="67"/>
      <c r="G13" s="70"/>
      <c r="H13" s="70"/>
      <c r="I13" s="60"/>
      <c r="J13" s="60"/>
      <c r="K13" s="60"/>
      <c r="L13" s="60"/>
      <c r="M13" s="60"/>
      <c r="N13" s="60"/>
      <c r="O13" s="60"/>
      <c r="P13" s="102" t="s">
        <v>139</v>
      </c>
      <c r="Q13" s="103">
        <f t="shared" ref="Q13:W13" si="7" xml:space="preserve"> Q11*Q10</f>
        <v>8352</v>
      </c>
      <c r="R13" s="103">
        <f t="shared" si="7"/>
        <v>8769.6</v>
      </c>
      <c r="S13" s="103">
        <f t="shared" si="7"/>
        <v>9208.08</v>
      </c>
      <c r="T13" s="103">
        <f t="shared" si="7"/>
        <v>9668.4840000000004</v>
      </c>
      <c r="U13" s="103">
        <f t="shared" si="7"/>
        <v>10151.9082</v>
      </c>
      <c r="V13" s="103">
        <f t="shared" si="7"/>
        <v>10659.50361</v>
      </c>
      <c r="W13" s="103">
        <f t="shared" si="7"/>
        <v>11192.478790500001</v>
      </c>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c r="HL13" s="28"/>
      <c r="HM13" s="28"/>
      <c r="HN13" s="28"/>
      <c r="HO13" s="28"/>
      <c r="HP13" s="28"/>
      <c r="HQ13" s="28"/>
      <c r="HR13" s="28"/>
      <c r="HS13" s="28"/>
      <c r="HT13" s="28"/>
      <c r="HU13" s="28"/>
      <c r="HV13" s="28"/>
      <c r="HW13" s="28"/>
      <c r="HX13" s="28"/>
      <c r="HY13" s="28"/>
      <c r="HZ13" s="28"/>
      <c r="IA13" s="28"/>
      <c r="IB13" s="28"/>
      <c r="IC13" s="28"/>
      <c r="ID13" s="28"/>
      <c r="IE13" s="28"/>
      <c r="IF13" s="28"/>
      <c r="IG13" s="28"/>
      <c r="IH13" s="28"/>
      <c r="II13" s="28"/>
      <c r="IJ13" s="28"/>
      <c r="IK13" s="28"/>
      <c r="IL13" s="28"/>
      <c r="IM13" s="28"/>
    </row>
    <row r="14" spans="1:247" x14ac:dyDescent="0.3">
      <c r="A14" s="61" t="s">
        <v>10</v>
      </c>
      <c r="B14" s="61">
        <v>1</v>
      </c>
      <c r="C14" s="62">
        <v>0</v>
      </c>
      <c r="D14" s="63">
        <v>10.5</v>
      </c>
      <c r="E14" s="64">
        <f>D14*C14*B14</f>
        <v>0</v>
      </c>
      <c r="F14" s="62">
        <f>1.51*H14*C14</f>
        <v>0</v>
      </c>
      <c r="G14" s="61">
        <v>12</v>
      </c>
      <c r="H14" s="61">
        <v>0</v>
      </c>
      <c r="I14" s="60">
        <f>H14*G14*C14</f>
        <v>0</v>
      </c>
      <c r="J14" s="65">
        <v>0</v>
      </c>
      <c r="K14" s="65">
        <v>0</v>
      </c>
      <c r="L14" s="65">
        <v>0</v>
      </c>
      <c r="M14" s="65">
        <v>0</v>
      </c>
      <c r="N14" s="65">
        <v>0</v>
      </c>
      <c r="O14" s="60"/>
      <c r="P14" s="77" t="s">
        <v>140</v>
      </c>
      <c r="Q14" s="78">
        <f>Y30</f>
        <v>569.85000000000036</v>
      </c>
      <c r="R14" s="78">
        <f>Y32</f>
        <v>765.8174999999992</v>
      </c>
      <c r="S14" s="78">
        <f>Y34</f>
        <v>987.95025000000169</v>
      </c>
      <c r="T14" s="78">
        <f>Y36</f>
        <v>1238.7745125000001</v>
      </c>
      <c r="U14" s="78">
        <f>Y38</f>
        <v>1512.2113256249995</v>
      </c>
      <c r="V14" s="78">
        <f>Y40</f>
        <v>1809.8948837812495</v>
      </c>
      <c r="W14" s="78">
        <f>Y42</f>
        <v>2133.566269439063</v>
      </c>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c r="HL14" s="28"/>
      <c r="HM14" s="28"/>
      <c r="HN14" s="28"/>
      <c r="HO14" s="28"/>
      <c r="HP14" s="28"/>
      <c r="HQ14" s="28"/>
      <c r="HR14" s="28"/>
      <c r="HS14" s="28"/>
      <c r="HT14" s="28"/>
      <c r="HU14" s="28"/>
      <c r="HV14" s="28"/>
      <c r="HW14" s="28"/>
      <c r="HX14" s="28"/>
      <c r="HY14" s="28"/>
      <c r="HZ14" s="28"/>
      <c r="IA14" s="28"/>
      <c r="IB14" s="28"/>
      <c r="IC14" s="28"/>
      <c r="ID14" s="28"/>
      <c r="IE14" s="28"/>
      <c r="IF14" s="28"/>
      <c r="IG14" s="28"/>
      <c r="IH14" s="28"/>
      <c r="II14" s="28"/>
      <c r="IJ14" s="28"/>
      <c r="IK14" s="28"/>
      <c r="IL14" s="28"/>
      <c r="IM14" s="28"/>
    </row>
    <row r="15" spans="1:247" x14ac:dyDescent="0.3">
      <c r="A15" s="61" t="s">
        <v>11</v>
      </c>
      <c r="B15" s="61">
        <v>1</v>
      </c>
      <c r="C15" s="62">
        <v>0</v>
      </c>
      <c r="D15" s="63">
        <v>10.5</v>
      </c>
      <c r="E15" s="64">
        <f t="shared" ref="E15:E18" si="8">D15*C15*B15</f>
        <v>0</v>
      </c>
      <c r="F15" s="62">
        <f t="shared" ref="F15:F18" si="9">1.51*H15*C15</f>
        <v>0</v>
      </c>
      <c r="G15" s="61">
        <v>12</v>
      </c>
      <c r="H15" s="61">
        <v>0</v>
      </c>
      <c r="I15" s="60">
        <f t="shared" ref="I15:I18" si="10">H15*G15*C15</f>
        <v>0</v>
      </c>
      <c r="J15" s="65">
        <v>0</v>
      </c>
      <c r="K15" s="65">
        <v>0</v>
      </c>
      <c r="L15" s="65">
        <v>0</v>
      </c>
      <c r="M15" s="65">
        <v>0</v>
      </c>
      <c r="N15" s="65">
        <v>0</v>
      </c>
      <c r="O15" s="60"/>
      <c r="P15" s="59" t="s">
        <v>131</v>
      </c>
      <c r="Q15" s="79"/>
      <c r="R15" s="79"/>
      <c r="S15" s="79"/>
      <c r="T15" s="79"/>
      <c r="U15" s="79"/>
      <c r="V15" s="79"/>
      <c r="W15" s="79"/>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c r="HL15" s="28"/>
      <c r="HM15" s="28"/>
      <c r="HN15" s="28"/>
      <c r="HO15" s="28"/>
      <c r="HP15" s="28"/>
      <c r="HQ15" s="28"/>
      <c r="HR15" s="28"/>
      <c r="HS15" s="28"/>
      <c r="HT15" s="28"/>
      <c r="HU15" s="28"/>
      <c r="HV15" s="28"/>
      <c r="HW15" s="28"/>
      <c r="HX15" s="28"/>
      <c r="HY15" s="28"/>
      <c r="HZ15" s="28"/>
      <c r="IA15" s="28"/>
      <c r="IB15" s="28"/>
      <c r="IC15" s="28"/>
      <c r="ID15" s="28"/>
      <c r="IE15" s="28"/>
      <c r="IF15" s="28"/>
      <c r="IG15" s="28"/>
      <c r="IH15" s="28"/>
      <c r="II15" s="28"/>
      <c r="IJ15" s="28"/>
      <c r="IK15" s="28"/>
      <c r="IL15" s="28"/>
      <c r="IM15" s="28"/>
    </row>
    <row r="16" spans="1:247" x14ac:dyDescent="0.3">
      <c r="A16" s="61" t="s">
        <v>12</v>
      </c>
      <c r="B16" s="61">
        <v>1</v>
      </c>
      <c r="C16" s="62">
        <v>5</v>
      </c>
      <c r="D16" s="63">
        <v>10.5</v>
      </c>
      <c r="E16" s="64">
        <f t="shared" si="8"/>
        <v>52.5</v>
      </c>
      <c r="F16" s="62">
        <f t="shared" si="9"/>
        <v>7.55</v>
      </c>
      <c r="G16" s="61">
        <v>12</v>
      </c>
      <c r="H16" s="61">
        <v>1</v>
      </c>
      <c r="I16" s="60">
        <f t="shared" si="10"/>
        <v>60</v>
      </c>
      <c r="J16" s="65">
        <v>60</v>
      </c>
      <c r="K16" s="65">
        <v>60</v>
      </c>
      <c r="L16" s="65">
        <v>60</v>
      </c>
      <c r="M16" s="65">
        <v>60</v>
      </c>
      <c r="N16" s="65">
        <v>60</v>
      </c>
      <c r="O16" s="60"/>
      <c r="P16" s="65" t="s">
        <v>132</v>
      </c>
      <c r="Q16" s="65">
        <v>50</v>
      </c>
      <c r="R16" s="65">
        <v>50</v>
      </c>
      <c r="S16" s="65">
        <v>50</v>
      </c>
      <c r="T16" s="65">
        <v>50</v>
      </c>
      <c r="U16" s="65">
        <v>50</v>
      </c>
      <c r="V16" s="65">
        <v>50</v>
      </c>
      <c r="W16" s="65">
        <v>50</v>
      </c>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row>
    <row r="17" spans="1:247" x14ac:dyDescent="0.3">
      <c r="A17" s="61" t="s">
        <v>13</v>
      </c>
      <c r="B17" s="61">
        <v>1</v>
      </c>
      <c r="C17" s="62">
        <v>0</v>
      </c>
      <c r="D17" s="63">
        <v>10.5</v>
      </c>
      <c r="E17" s="64">
        <f t="shared" si="8"/>
        <v>0</v>
      </c>
      <c r="F17" s="62">
        <f t="shared" si="9"/>
        <v>0</v>
      </c>
      <c r="G17" s="61">
        <v>12</v>
      </c>
      <c r="H17" s="61">
        <v>0</v>
      </c>
      <c r="I17" s="60">
        <f t="shared" si="10"/>
        <v>0</v>
      </c>
      <c r="J17" s="65">
        <v>0</v>
      </c>
      <c r="K17" s="65">
        <v>0</v>
      </c>
      <c r="L17" s="65">
        <v>0</v>
      </c>
      <c r="M17" s="65">
        <v>0</v>
      </c>
      <c r="N17" s="65">
        <v>0</v>
      </c>
      <c r="O17" s="60"/>
      <c r="P17" s="65"/>
      <c r="Q17" s="66"/>
      <c r="R17" s="66"/>
      <c r="S17" s="66"/>
      <c r="T17" s="66"/>
      <c r="U17" s="66"/>
      <c r="V17" s="66"/>
      <c r="W17" s="66"/>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row>
    <row r="18" spans="1:247" x14ac:dyDescent="0.3">
      <c r="A18" s="61" t="s">
        <v>109</v>
      </c>
      <c r="B18" s="61">
        <v>1</v>
      </c>
      <c r="C18" s="62">
        <v>0</v>
      </c>
      <c r="D18" s="63">
        <v>10.5</v>
      </c>
      <c r="E18" s="64">
        <f t="shared" si="8"/>
        <v>0</v>
      </c>
      <c r="F18" s="62">
        <f t="shared" si="9"/>
        <v>0</v>
      </c>
      <c r="G18" s="61">
        <v>12</v>
      </c>
      <c r="H18" s="61">
        <v>0</v>
      </c>
      <c r="I18" s="60">
        <f t="shared" si="10"/>
        <v>0</v>
      </c>
      <c r="J18" s="65">
        <v>0</v>
      </c>
      <c r="K18" s="65">
        <v>0</v>
      </c>
      <c r="L18" s="65">
        <v>0</v>
      </c>
      <c r="M18" s="65">
        <v>0</v>
      </c>
      <c r="N18" s="65">
        <v>0</v>
      </c>
      <c r="O18" s="60"/>
      <c r="P18" s="65"/>
      <c r="Q18" s="38">
        <f>Q9-X9</f>
        <v>569.85000000000036</v>
      </c>
      <c r="R18" s="38">
        <f>R9-Q9</f>
        <v>765.8174999999992</v>
      </c>
      <c r="S18" s="38">
        <f t="shared" ref="S18:W18" si="11">S9-R9</f>
        <v>987.95025000000169</v>
      </c>
      <c r="T18" s="38">
        <f t="shared" si="11"/>
        <v>1238.7745125000001</v>
      </c>
      <c r="U18" s="38">
        <f t="shared" si="11"/>
        <v>1335.9629193749988</v>
      </c>
      <c r="V18" s="38">
        <f t="shared" si="11"/>
        <v>1439.7732306562502</v>
      </c>
      <c r="W18" s="38">
        <f t="shared" si="11"/>
        <v>1550.6246657671873</v>
      </c>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c r="IF18" s="28"/>
      <c r="IG18" s="28"/>
      <c r="IH18" s="28"/>
      <c r="II18" s="28"/>
      <c r="IJ18" s="28"/>
      <c r="IK18" s="28"/>
      <c r="IL18" s="28"/>
      <c r="IM18" s="28"/>
    </row>
    <row r="19" spans="1:247" s="33" customFormat="1" x14ac:dyDescent="0.3">
      <c r="A19" s="71" t="s">
        <v>111</v>
      </c>
      <c r="B19" s="71"/>
      <c r="C19" s="72"/>
      <c r="D19" s="73"/>
      <c r="E19" s="74">
        <f>SUM(E14:E18)</f>
        <v>52.5</v>
      </c>
      <c r="F19" s="74">
        <f>SUM(F14:F18)</f>
        <v>7.55</v>
      </c>
      <c r="G19" s="71"/>
      <c r="H19" s="71"/>
      <c r="I19" s="68">
        <f>SUM(I14:I18)</f>
        <v>60</v>
      </c>
      <c r="J19" s="68">
        <f t="shared" ref="J19:N19" si="12">SUM(J14:J18)</f>
        <v>60</v>
      </c>
      <c r="K19" s="68">
        <f t="shared" si="12"/>
        <v>60</v>
      </c>
      <c r="L19" s="68">
        <f t="shared" si="12"/>
        <v>60</v>
      </c>
      <c r="M19" s="68">
        <f t="shared" si="12"/>
        <v>60</v>
      </c>
      <c r="N19" s="68">
        <f t="shared" si="12"/>
        <v>60</v>
      </c>
      <c r="O19" s="60"/>
      <c r="P19" s="65"/>
      <c r="Q19" s="28"/>
      <c r="R19" s="28"/>
      <c r="S19" s="28"/>
      <c r="T19" s="28"/>
      <c r="U19" s="28"/>
      <c r="V19" s="66"/>
      <c r="W19" s="66"/>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c r="HL19" s="28"/>
      <c r="HM19" s="28"/>
      <c r="HN19" s="28"/>
      <c r="HO19" s="28"/>
      <c r="HP19" s="28"/>
      <c r="HQ19" s="28"/>
      <c r="HR19" s="28"/>
      <c r="HS19" s="28"/>
      <c r="HT19" s="28"/>
      <c r="HU19" s="28"/>
      <c r="HV19" s="28"/>
      <c r="HW19" s="28"/>
      <c r="HX19" s="28"/>
      <c r="HY19" s="28"/>
      <c r="HZ19" s="28"/>
      <c r="IA19" s="28"/>
      <c r="IB19" s="28"/>
      <c r="IC19" s="28"/>
      <c r="ID19" s="28"/>
      <c r="IE19" s="28"/>
      <c r="IF19" s="28"/>
      <c r="IG19" s="28"/>
      <c r="IH19" s="28"/>
      <c r="II19" s="28"/>
      <c r="IJ19" s="28"/>
      <c r="IK19" s="28"/>
      <c r="IL19" s="28"/>
      <c r="IM19" s="28"/>
    </row>
    <row r="20" spans="1:247" s="32" customFormat="1" x14ac:dyDescent="0.3">
      <c r="A20" s="55" t="s">
        <v>110</v>
      </c>
      <c r="B20" s="70"/>
      <c r="C20" s="67"/>
      <c r="D20" s="75"/>
      <c r="E20" s="76"/>
      <c r="F20" s="67"/>
      <c r="G20" s="70"/>
      <c r="H20" s="70"/>
      <c r="I20" s="60"/>
      <c r="J20" s="60"/>
      <c r="K20" s="60"/>
      <c r="L20" s="60"/>
      <c r="M20" s="60"/>
      <c r="N20" s="60"/>
      <c r="O20" s="60"/>
      <c r="P20" s="65"/>
      <c r="Q20" s="28"/>
      <c r="R20" s="28"/>
      <c r="S20" s="28"/>
      <c r="T20" s="28"/>
      <c r="U20" s="28"/>
      <c r="V20" s="66"/>
      <c r="W20" s="66"/>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c r="HL20" s="28"/>
      <c r="HM20" s="28"/>
      <c r="HN20" s="28"/>
      <c r="HO20" s="28"/>
      <c r="HP20" s="28"/>
      <c r="HQ20" s="28"/>
      <c r="HR20" s="28"/>
      <c r="HS20" s="28"/>
      <c r="HT20" s="28"/>
      <c r="HU20" s="28"/>
      <c r="HV20" s="28"/>
      <c r="HW20" s="28"/>
      <c r="HX20" s="28"/>
      <c r="HY20" s="28"/>
      <c r="HZ20" s="28"/>
      <c r="IA20" s="28"/>
      <c r="IB20" s="28"/>
      <c r="IC20" s="28"/>
      <c r="ID20" s="28"/>
      <c r="IE20" s="28"/>
      <c r="IF20" s="28"/>
      <c r="IG20" s="28"/>
      <c r="IH20" s="28"/>
      <c r="II20" s="28"/>
      <c r="IJ20" s="28"/>
      <c r="IK20" s="28"/>
      <c r="IL20" s="28"/>
      <c r="IM20" s="28"/>
    </row>
    <row r="21" spans="1:247" x14ac:dyDescent="0.3">
      <c r="A21" s="61" t="s">
        <v>17</v>
      </c>
      <c r="B21" s="61">
        <v>1</v>
      </c>
      <c r="C21" s="62">
        <v>6</v>
      </c>
      <c r="D21" s="63">
        <v>10.5</v>
      </c>
      <c r="E21" s="64">
        <f>D21*C21*B21</f>
        <v>63</v>
      </c>
      <c r="F21" s="62">
        <f>1.5*H21*C21</f>
        <v>9</v>
      </c>
      <c r="G21" s="61">
        <v>12</v>
      </c>
      <c r="H21" s="61">
        <v>1</v>
      </c>
      <c r="I21" s="65">
        <f>H21*G21*C21</f>
        <v>72</v>
      </c>
      <c r="J21" s="65">
        <v>72</v>
      </c>
      <c r="K21" s="65">
        <v>72</v>
      </c>
      <c r="L21" s="65">
        <v>72</v>
      </c>
      <c r="M21" s="65">
        <v>72</v>
      </c>
      <c r="N21" s="65">
        <v>72</v>
      </c>
      <c r="O21" s="60"/>
      <c r="P21" s="68" t="s">
        <v>133</v>
      </c>
      <c r="Q21" s="68">
        <f>Q16</f>
        <v>50</v>
      </c>
      <c r="R21" s="68">
        <f t="shared" ref="R21:W21" si="13">R16</f>
        <v>50</v>
      </c>
      <c r="S21" s="68">
        <f t="shared" si="13"/>
        <v>50</v>
      </c>
      <c r="T21" s="68">
        <f t="shared" si="13"/>
        <v>50</v>
      </c>
      <c r="U21" s="68">
        <f t="shared" si="13"/>
        <v>50</v>
      </c>
      <c r="V21" s="68">
        <f t="shared" si="13"/>
        <v>50</v>
      </c>
      <c r="W21" s="68">
        <f t="shared" si="13"/>
        <v>50</v>
      </c>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c r="HL21" s="28"/>
      <c r="HM21" s="28"/>
      <c r="HN21" s="28"/>
      <c r="HO21" s="28"/>
      <c r="HP21" s="28"/>
      <c r="HQ21" s="28"/>
      <c r="HR21" s="28"/>
      <c r="HS21" s="28"/>
      <c r="HT21" s="28"/>
      <c r="HU21" s="28"/>
      <c r="HV21" s="28"/>
      <c r="HW21" s="28"/>
      <c r="HX21" s="28"/>
      <c r="HY21" s="28"/>
      <c r="HZ21" s="28"/>
      <c r="IA21" s="28"/>
      <c r="IB21" s="28"/>
      <c r="IC21" s="28"/>
      <c r="ID21" s="28"/>
      <c r="IE21" s="28"/>
      <c r="IF21" s="28"/>
      <c r="IG21" s="28"/>
      <c r="IH21" s="28"/>
      <c r="II21" s="28"/>
      <c r="IJ21" s="28"/>
      <c r="IK21" s="28"/>
      <c r="IL21" s="28"/>
      <c r="IM21" s="28"/>
    </row>
    <row r="22" spans="1:247" s="33" customFormat="1" x14ac:dyDescent="0.3">
      <c r="A22" s="71" t="s">
        <v>111</v>
      </c>
      <c r="B22" s="71"/>
      <c r="C22" s="72"/>
      <c r="D22" s="73"/>
      <c r="E22" s="74">
        <f>SUM(E21)</f>
        <v>63</v>
      </c>
      <c r="F22" s="74">
        <f>SUM(F21)</f>
        <v>9</v>
      </c>
      <c r="G22" s="71"/>
      <c r="H22" s="71"/>
      <c r="I22" s="68">
        <f>SUM(I21)</f>
        <v>72</v>
      </c>
      <c r="J22" s="68">
        <f t="shared" ref="J22:N22" si="14">SUM(J21)</f>
        <v>72</v>
      </c>
      <c r="K22" s="68">
        <f t="shared" si="14"/>
        <v>72</v>
      </c>
      <c r="L22" s="68">
        <f t="shared" si="14"/>
        <v>72</v>
      </c>
      <c r="M22" s="68">
        <f t="shared" si="14"/>
        <v>72</v>
      </c>
      <c r="N22" s="68">
        <f t="shared" si="14"/>
        <v>72</v>
      </c>
      <c r="O22" s="60"/>
      <c r="P22" s="59" t="s">
        <v>134</v>
      </c>
      <c r="Q22" s="80">
        <f>Q14+Q21</f>
        <v>619.85000000000036</v>
      </c>
      <c r="R22" s="80">
        <f t="shared" ref="R22:W22" si="15">R14+R21</f>
        <v>815.8174999999992</v>
      </c>
      <c r="S22" s="80">
        <f t="shared" si="15"/>
        <v>1037.9502500000017</v>
      </c>
      <c r="T22" s="80">
        <f t="shared" si="15"/>
        <v>1288.7745125000001</v>
      </c>
      <c r="U22" s="80">
        <f t="shared" si="15"/>
        <v>1562.2113256249995</v>
      </c>
      <c r="V22" s="80">
        <f t="shared" si="15"/>
        <v>1859.8948837812495</v>
      </c>
      <c r="W22" s="80">
        <f t="shared" si="15"/>
        <v>2183.566269439063</v>
      </c>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c r="HL22" s="28"/>
      <c r="HM22" s="28"/>
      <c r="HN22" s="28"/>
      <c r="HO22" s="28"/>
      <c r="HP22" s="28"/>
      <c r="HQ22" s="28"/>
      <c r="HR22" s="28"/>
      <c r="HS22" s="28"/>
      <c r="HT22" s="28"/>
      <c r="HU22" s="28"/>
      <c r="HV22" s="28"/>
      <c r="HW22" s="28"/>
      <c r="HX22" s="28"/>
      <c r="HY22" s="28"/>
      <c r="HZ22" s="28"/>
      <c r="IA22" s="28"/>
      <c r="IB22" s="28"/>
      <c r="IC22" s="28"/>
      <c r="ID22" s="28"/>
      <c r="IE22" s="28"/>
      <c r="IF22" s="28"/>
      <c r="IG22" s="28"/>
      <c r="IH22" s="28"/>
      <c r="II22" s="28"/>
      <c r="IJ22" s="28"/>
      <c r="IK22" s="28"/>
      <c r="IL22" s="28"/>
      <c r="IM22" s="28"/>
    </row>
    <row r="23" spans="1:247" s="32" customFormat="1" x14ac:dyDescent="0.3">
      <c r="A23" s="55" t="s">
        <v>112</v>
      </c>
      <c r="B23" s="70"/>
      <c r="C23" s="67"/>
      <c r="D23" s="75"/>
      <c r="E23" s="76"/>
      <c r="F23" s="67"/>
      <c r="G23" s="70"/>
      <c r="H23" s="70"/>
      <c r="I23" s="60"/>
      <c r="J23" s="60"/>
      <c r="K23" s="60"/>
      <c r="L23" s="60"/>
      <c r="M23" s="60"/>
      <c r="N23" s="60"/>
      <c r="O23" s="60"/>
      <c r="P23" s="65"/>
      <c r="Q23" s="28"/>
      <c r="R23" s="39"/>
      <c r="S23" s="28"/>
      <c r="T23" s="28"/>
      <c r="U23" s="28"/>
      <c r="V23" s="65"/>
      <c r="W23" s="65"/>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c r="HL23" s="28"/>
      <c r="HM23" s="28"/>
      <c r="HN23" s="28"/>
      <c r="HO23" s="28"/>
      <c r="HP23" s="28"/>
      <c r="HQ23" s="28"/>
      <c r="HR23" s="28"/>
      <c r="HS23" s="28"/>
      <c r="HT23" s="28"/>
      <c r="HU23" s="28"/>
      <c r="HV23" s="28"/>
      <c r="HW23" s="28"/>
      <c r="HX23" s="28"/>
      <c r="HY23" s="28"/>
      <c r="HZ23" s="28"/>
      <c r="IA23" s="28"/>
      <c r="IB23" s="28"/>
      <c r="IC23" s="28"/>
      <c r="ID23" s="28"/>
      <c r="IE23" s="28"/>
      <c r="IF23" s="28"/>
      <c r="IG23" s="28"/>
      <c r="IH23" s="28"/>
      <c r="II23" s="28"/>
      <c r="IJ23" s="28"/>
      <c r="IK23" s="28"/>
      <c r="IL23" s="28"/>
      <c r="IM23" s="28"/>
    </row>
    <row r="24" spans="1:247" x14ac:dyDescent="0.3">
      <c r="A24" s="61" t="s">
        <v>21</v>
      </c>
      <c r="B24" s="61">
        <v>100</v>
      </c>
      <c r="C24" s="62">
        <v>0</v>
      </c>
      <c r="D24" s="63">
        <v>2</v>
      </c>
      <c r="E24" s="64">
        <f>D24*C24*B24</f>
        <v>0</v>
      </c>
      <c r="F24" s="62">
        <f>1.5*H24*C24</f>
        <v>0</v>
      </c>
      <c r="G24" s="61">
        <v>0</v>
      </c>
      <c r="H24" s="61">
        <v>0</v>
      </c>
      <c r="I24" s="65">
        <f>H24*G24*C24</f>
        <v>0</v>
      </c>
      <c r="J24" s="65">
        <v>0</v>
      </c>
      <c r="K24" s="65">
        <v>0</v>
      </c>
      <c r="L24" s="65">
        <v>0</v>
      </c>
      <c r="M24" s="65">
        <v>0</v>
      </c>
      <c r="N24" s="65">
        <v>0</v>
      </c>
      <c r="O24" s="60"/>
      <c r="P24" s="60"/>
      <c r="Q24" s="28"/>
      <c r="R24" s="28"/>
      <c r="S24" s="28"/>
      <c r="T24" s="28"/>
      <c r="U24" s="28"/>
      <c r="V24" s="60"/>
      <c r="W24" s="60"/>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c r="HL24" s="28"/>
      <c r="HM24" s="28"/>
      <c r="HN24" s="28"/>
      <c r="HO24" s="28"/>
      <c r="HP24" s="28"/>
      <c r="HQ24" s="28"/>
      <c r="HR24" s="28"/>
      <c r="HS24" s="28"/>
      <c r="HT24" s="28"/>
      <c r="HU24" s="28"/>
      <c r="HV24" s="28"/>
      <c r="HW24" s="28"/>
      <c r="HX24" s="28"/>
      <c r="HY24" s="28"/>
      <c r="HZ24" s="28"/>
      <c r="IA24" s="28"/>
      <c r="IB24" s="28"/>
      <c r="IC24" s="28"/>
      <c r="ID24" s="28"/>
      <c r="IE24" s="28"/>
      <c r="IF24" s="28"/>
      <c r="IG24" s="28"/>
      <c r="IH24" s="28"/>
      <c r="II24" s="28"/>
      <c r="IJ24" s="28"/>
      <c r="IK24" s="28"/>
      <c r="IL24" s="28"/>
      <c r="IM24" s="28"/>
    </row>
    <row r="25" spans="1:247" x14ac:dyDescent="0.3">
      <c r="A25" s="61" t="s">
        <v>22</v>
      </c>
      <c r="B25" s="61">
        <v>5</v>
      </c>
      <c r="C25" s="62">
        <v>3</v>
      </c>
      <c r="D25" s="63">
        <v>2</v>
      </c>
      <c r="E25" s="64">
        <f>D25*C25*B25</f>
        <v>30</v>
      </c>
      <c r="F25" s="62">
        <f t="shared" ref="F25:F26" si="16">1.5*H25*C25</f>
        <v>0</v>
      </c>
      <c r="G25" s="61">
        <v>0</v>
      </c>
      <c r="H25" s="61">
        <v>0</v>
      </c>
      <c r="I25" s="65">
        <f t="shared" ref="I25:I26" si="17">H25*G25*C25</f>
        <v>0</v>
      </c>
      <c r="J25" s="65">
        <v>0</v>
      </c>
      <c r="K25" s="65">
        <v>0</v>
      </c>
      <c r="L25" s="65">
        <v>0</v>
      </c>
      <c r="M25" s="65">
        <v>0</v>
      </c>
      <c r="N25" s="65">
        <v>0</v>
      </c>
      <c r="O25" s="60"/>
      <c r="P25" s="60"/>
      <c r="Q25" s="28"/>
      <c r="R25" s="28"/>
      <c r="S25" s="28"/>
      <c r="T25" s="28"/>
      <c r="U25" s="28"/>
      <c r="V25" s="60"/>
      <c r="W25" s="60"/>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c r="IF25" s="28"/>
      <c r="IG25" s="28"/>
      <c r="IH25" s="28"/>
      <c r="II25" s="28"/>
      <c r="IJ25" s="28"/>
      <c r="IK25" s="28"/>
      <c r="IL25" s="28"/>
      <c r="IM25" s="28"/>
    </row>
    <row r="26" spans="1:247" x14ac:dyDescent="0.3">
      <c r="A26" s="61" t="s">
        <v>113</v>
      </c>
      <c r="B26" s="61">
        <v>0</v>
      </c>
      <c r="C26" s="62">
        <v>50</v>
      </c>
      <c r="D26" s="63"/>
      <c r="E26" s="64">
        <f>C26*B26</f>
        <v>0</v>
      </c>
      <c r="F26" s="62">
        <f t="shared" si="16"/>
        <v>0</v>
      </c>
      <c r="G26" s="61">
        <v>0</v>
      </c>
      <c r="H26" s="61">
        <v>0</v>
      </c>
      <c r="I26" s="65">
        <f t="shared" si="17"/>
        <v>0</v>
      </c>
      <c r="J26" s="65">
        <v>0</v>
      </c>
      <c r="K26" s="65">
        <v>0</v>
      </c>
      <c r="L26" s="65">
        <v>0</v>
      </c>
      <c r="M26" s="65">
        <v>0</v>
      </c>
      <c r="N26" s="65">
        <v>0</v>
      </c>
      <c r="O26" s="60"/>
      <c r="P26" s="60"/>
      <c r="Q26" s="28"/>
      <c r="R26" s="28"/>
      <c r="S26" s="28"/>
      <c r="T26" s="28"/>
      <c r="U26" s="28"/>
      <c r="V26" s="60"/>
      <c r="W26" s="60"/>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c r="HL26" s="28"/>
      <c r="HM26" s="28"/>
      <c r="HN26" s="28"/>
      <c r="HO26" s="28"/>
      <c r="HP26" s="28"/>
      <c r="HQ26" s="28"/>
      <c r="HR26" s="28"/>
      <c r="HS26" s="28"/>
      <c r="HT26" s="28"/>
      <c r="HU26" s="28"/>
      <c r="HV26" s="28"/>
      <c r="HW26" s="28"/>
      <c r="HX26" s="28"/>
      <c r="HY26" s="28"/>
      <c r="HZ26" s="28"/>
      <c r="IA26" s="28"/>
      <c r="IB26" s="28"/>
      <c r="IC26" s="28"/>
      <c r="ID26" s="28"/>
      <c r="IE26" s="28"/>
      <c r="IF26" s="28"/>
      <c r="IG26" s="28"/>
      <c r="IH26" s="28"/>
      <c r="II26" s="28"/>
      <c r="IJ26" s="28"/>
      <c r="IK26" s="28"/>
      <c r="IL26" s="28"/>
      <c r="IM26" s="28"/>
    </row>
    <row r="27" spans="1:247" s="33" customFormat="1" x14ac:dyDescent="0.3">
      <c r="A27" s="71" t="s">
        <v>111</v>
      </c>
      <c r="B27" s="71"/>
      <c r="C27" s="72"/>
      <c r="D27" s="73"/>
      <c r="E27" s="74">
        <f>SUM(E24:E26)</f>
        <v>30</v>
      </c>
      <c r="F27" s="74">
        <f>SUM(F24:F26)</f>
        <v>0</v>
      </c>
      <c r="G27" s="71"/>
      <c r="H27" s="71"/>
      <c r="I27" s="68">
        <f>SUM(I24:I26)</f>
        <v>0</v>
      </c>
      <c r="J27" s="68">
        <f t="shared" ref="J27:N27" si="18">SUM(J24:J26)</f>
        <v>0</v>
      </c>
      <c r="K27" s="68">
        <f t="shared" si="18"/>
        <v>0</v>
      </c>
      <c r="L27" s="68">
        <f t="shared" si="18"/>
        <v>0</v>
      </c>
      <c r="M27" s="68">
        <f t="shared" si="18"/>
        <v>0</v>
      </c>
      <c r="N27" s="68">
        <f t="shared" si="18"/>
        <v>0</v>
      </c>
      <c r="O27" s="60"/>
      <c r="P27" s="60"/>
      <c r="Q27" s="28"/>
      <c r="R27" s="28"/>
      <c r="S27" s="28"/>
      <c r="T27" s="28"/>
      <c r="U27" s="28"/>
      <c r="V27" s="60"/>
      <c r="W27" s="60"/>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c r="HL27" s="28"/>
      <c r="HM27" s="28"/>
      <c r="HN27" s="28"/>
      <c r="HO27" s="28"/>
      <c r="HP27" s="28"/>
      <c r="HQ27" s="28"/>
      <c r="HR27" s="28"/>
      <c r="HS27" s="28"/>
      <c r="HT27" s="28"/>
      <c r="HU27" s="28"/>
      <c r="HV27" s="28"/>
      <c r="HW27" s="28"/>
      <c r="HX27" s="28"/>
      <c r="HY27" s="28"/>
      <c r="HZ27" s="28"/>
      <c r="IA27" s="28"/>
      <c r="IB27" s="28"/>
      <c r="IC27" s="28"/>
      <c r="ID27" s="28"/>
      <c r="IE27" s="28"/>
      <c r="IF27" s="28"/>
      <c r="IG27" s="28"/>
      <c r="IH27" s="28"/>
      <c r="II27" s="28"/>
      <c r="IJ27" s="28"/>
      <c r="IK27" s="28"/>
      <c r="IL27" s="28"/>
      <c r="IM27" s="28"/>
    </row>
    <row r="28" spans="1:247" s="32" customFormat="1" x14ac:dyDescent="0.3">
      <c r="A28" s="55" t="s">
        <v>114</v>
      </c>
      <c r="B28" s="70"/>
      <c r="C28" s="67"/>
      <c r="D28" s="75"/>
      <c r="E28" s="76"/>
      <c r="F28" s="67"/>
      <c r="G28" s="70"/>
      <c r="H28" s="70"/>
      <c r="I28" s="60"/>
      <c r="J28" s="60"/>
      <c r="K28" s="60"/>
      <c r="L28" s="60"/>
      <c r="M28" s="60"/>
      <c r="N28" s="60"/>
      <c r="O28" s="60"/>
      <c r="P28" s="60"/>
      <c r="Q28" s="28"/>
      <c r="R28" s="28"/>
      <c r="S28" s="28"/>
      <c r="T28" s="28"/>
      <c r="U28" s="28"/>
      <c r="V28" s="60"/>
      <c r="W28" s="60"/>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c r="HL28" s="28"/>
      <c r="HM28" s="28"/>
      <c r="HN28" s="28"/>
      <c r="HO28" s="28"/>
      <c r="HP28" s="28"/>
      <c r="HQ28" s="28"/>
      <c r="HR28" s="28"/>
      <c r="HS28" s="28"/>
      <c r="HT28" s="28"/>
      <c r="HU28" s="28"/>
      <c r="HV28" s="28"/>
      <c r="HW28" s="28"/>
      <c r="HX28" s="28"/>
      <c r="HY28" s="28"/>
      <c r="HZ28" s="28"/>
      <c r="IA28" s="28"/>
      <c r="IB28" s="28"/>
      <c r="IC28" s="28"/>
      <c r="ID28" s="28"/>
      <c r="IE28" s="28"/>
      <c r="IF28" s="28"/>
      <c r="IG28" s="28"/>
      <c r="IH28" s="28"/>
      <c r="II28" s="28"/>
      <c r="IJ28" s="28"/>
      <c r="IK28" s="28"/>
      <c r="IL28" s="28"/>
      <c r="IM28" s="28"/>
    </row>
    <row r="29" spans="1:247" ht="28.8" x14ac:dyDescent="0.3">
      <c r="A29" s="61" t="s">
        <v>96</v>
      </c>
      <c r="B29" s="61">
        <v>1</v>
      </c>
      <c r="C29" s="62">
        <v>10</v>
      </c>
      <c r="D29" s="63"/>
      <c r="E29" s="64">
        <f>C29*B29</f>
        <v>10</v>
      </c>
      <c r="F29" s="62">
        <f>H29*C29*1.5</f>
        <v>0</v>
      </c>
      <c r="G29" s="61">
        <v>0</v>
      </c>
      <c r="H29" s="61">
        <v>0</v>
      </c>
      <c r="I29" s="65">
        <f>H29*G29*C29</f>
        <v>0</v>
      </c>
      <c r="J29" s="65">
        <v>0</v>
      </c>
      <c r="K29" s="65">
        <v>0</v>
      </c>
      <c r="L29" s="65">
        <v>0</v>
      </c>
      <c r="M29" s="65">
        <v>0</v>
      </c>
      <c r="N29" s="65">
        <v>0</v>
      </c>
      <c r="O29" s="60"/>
      <c r="P29" s="60"/>
      <c r="V29" s="60"/>
      <c r="W29" s="60"/>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c r="HL29" s="28"/>
      <c r="HM29" s="28"/>
      <c r="HN29" s="28"/>
      <c r="HO29" s="28"/>
      <c r="HP29" s="28"/>
      <c r="HQ29" s="28"/>
      <c r="HR29" s="28"/>
      <c r="HS29" s="28"/>
      <c r="HT29" s="28"/>
      <c r="HU29" s="28"/>
      <c r="HV29" s="28"/>
      <c r="HW29" s="28"/>
      <c r="HX29" s="28"/>
      <c r="HY29" s="28"/>
      <c r="HZ29" s="28"/>
      <c r="IA29" s="28"/>
      <c r="IB29" s="28"/>
      <c r="IC29" s="28"/>
      <c r="ID29" s="28"/>
      <c r="IE29" s="28"/>
      <c r="IF29" s="28"/>
      <c r="IG29" s="28"/>
      <c r="IH29" s="28"/>
      <c r="II29" s="28"/>
      <c r="IJ29" s="28"/>
      <c r="IK29" s="28"/>
      <c r="IL29" s="28"/>
      <c r="IM29" s="28"/>
    </row>
    <row r="30" spans="1:247" x14ac:dyDescent="0.3">
      <c r="A30" s="61" t="s">
        <v>120</v>
      </c>
      <c r="B30" s="61">
        <v>1</v>
      </c>
      <c r="C30" s="62"/>
      <c r="D30" s="63"/>
      <c r="E30" s="64">
        <f>10%*(E12+E19+E22+E27+E29)</f>
        <v>181.20000000000002</v>
      </c>
      <c r="F30" s="62">
        <f>H30*C30*1.5</f>
        <v>0</v>
      </c>
      <c r="G30" s="61">
        <v>0</v>
      </c>
      <c r="H30" s="61">
        <v>0</v>
      </c>
      <c r="I30" s="65">
        <f>H30*G30*C30</f>
        <v>0</v>
      </c>
      <c r="J30" s="65">
        <v>0</v>
      </c>
      <c r="K30" s="65">
        <v>0</v>
      </c>
      <c r="L30" s="65">
        <v>0</v>
      </c>
      <c r="M30" s="65">
        <v>0</v>
      </c>
      <c r="N30" s="65">
        <v>0</v>
      </c>
      <c r="O30" s="60"/>
      <c r="P30" s="32" t="s">
        <v>153</v>
      </c>
      <c r="Q30" s="32">
        <v>144</v>
      </c>
      <c r="R30" s="32">
        <v>144</v>
      </c>
      <c r="S30" s="32">
        <v>144</v>
      </c>
      <c r="T30" s="32">
        <v>144</v>
      </c>
      <c r="U30" s="59">
        <f>SUM(Q30:T30)</f>
        <v>576</v>
      </c>
      <c r="V30" s="59">
        <f>U31-U30</f>
        <v>10</v>
      </c>
      <c r="W30" s="40">
        <f>14.5</f>
        <v>14.5</v>
      </c>
      <c r="X30" s="40">
        <f>W30*U30</f>
        <v>8352</v>
      </c>
      <c r="Y30" s="40">
        <f>X31-X30</f>
        <v>569.85000000000036</v>
      </c>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c r="HV30" s="28"/>
      <c r="HW30" s="28"/>
      <c r="HX30" s="28"/>
      <c r="HY30" s="28"/>
      <c r="HZ30" s="28"/>
      <c r="IA30" s="28"/>
      <c r="IB30" s="28"/>
      <c r="IC30" s="28"/>
      <c r="ID30" s="28"/>
      <c r="IE30" s="28"/>
      <c r="IF30" s="28"/>
      <c r="IG30" s="28"/>
      <c r="IH30" s="28"/>
      <c r="II30" s="28"/>
      <c r="IJ30" s="28"/>
      <c r="IK30" s="28"/>
      <c r="IL30" s="28"/>
    </row>
    <row r="31" spans="1:247" s="33" customFormat="1" x14ac:dyDescent="0.3">
      <c r="A31" s="71" t="s">
        <v>111</v>
      </c>
      <c r="B31" s="71"/>
      <c r="C31" s="72"/>
      <c r="D31" s="73"/>
      <c r="E31" s="74">
        <f>SUM(E29:E30)</f>
        <v>191.20000000000002</v>
      </c>
      <c r="F31" s="74">
        <f>SUM(F29:F30)</f>
        <v>0</v>
      </c>
      <c r="G31" s="71"/>
      <c r="H31" s="71"/>
      <c r="I31" s="68">
        <f>SUM(I29:I30)</f>
        <v>0</v>
      </c>
      <c r="J31" s="68">
        <f t="shared" ref="J31:N31" si="19">SUM(J29:J30)</f>
        <v>0</v>
      </c>
      <c r="K31" s="68">
        <f t="shared" si="19"/>
        <v>0</v>
      </c>
      <c r="L31" s="68">
        <f t="shared" si="19"/>
        <v>0</v>
      </c>
      <c r="M31" s="68">
        <f t="shared" si="19"/>
        <v>0</v>
      </c>
      <c r="N31" s="68">
        <f t="shared" si="19"/>
        <v>0</v>
      </c>
      <c r="O31" s="60"/>
      <c r="P31" s="28"/>
      <c r="Q31" s="65">
        <v>154</v>
      </c>
      <c r="R31" s="65">
        <v>144</v>
      </c>
      <c r="S31" s="65">
        <v>144</v>
      </c>
      <c r="T31" s="65">
        <v>144</v>
      </c>
      <c r="U31" s="68">
        <f t="shared" ref="U31:U43" si="20">SUM(Q31:T31)</f>
        <v>586</v>
      </c>
      <c r="V31" s="60"/>
      <c r="W31" s="39">
        <f>14.5+14.5*5%</f>
        <v>15.225</v>
      </c>
      <c r="X31" s="39">
        <f t="shared" ref="X31:X43" si="21">W31*U31</f>
        <v>8921.85</v>
      </c>
      <c r="Y31" s="39"/>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c r="HL31" s="28"/>
      <c r="HM31" s="28"/>
      <c r="HN31" s="28"/>
      <c r="HO31" s="28"/>
      <c r="HP31" s="28"/>
      <c r="HQ31" s="28"/>
      <c r="HR31" s="28"/>
      <c r="HS31" s="28"/>
      <c r="HT31" s="28"/>
      <c r="HU31" s="28"/>
      <c r="HV31" s="28"/>
      <c r="HW31" s="28"/>
      <c r="HX31" s="28"/>
      <c r="HY31" s="28"/>
      <c r="HZ31" s="28"/>
      <c r="IA31" s="28"/>
      <c r="IB31" s="28"/>
      <c r="IC31" s="28"/>
      <c r="ID31" s="28"/>
      <c r="IE31" s="28"/>
      <c r="IF31" s="28"/>
      <c r="IG31" s="28"/>
      <c r="IH31" s="28"/>
      <c r="II31" s="28"/>
      <c r="IJ31" s="28"/>
      <c r="IK31" s="28"/>
      <c r="IL31" s="28"/>
    </row>
    <row r="32" spans="1:247" s="34" customFormat="1" x14ac:dyDescent="0.3">
      <c r="A32" s="81" t="s">
        <v>121</v>
      </c>
      <c r="B32" s="81"/>
      <c r="C32" s="82"/>
      <c r="D32" s="83"/>
      <c r="E32" s="84">
        <f>SUM(E12,E19,E22,E27,E31)</f>
        <v>1993.2</v>
      </c>
      <c r="F32" s="84">
        <f>SUM(F12,F19,F22,F27,F31)</f>
        <v>105.05</v>
      </c>
      <c r="G32" s="81"/>
      <c r="H32" s="81"/>
      <c r="I32" s="85">
        <f>SUM(I12,I19,I22,I27,I31)</f>
        <v>840</v>
      </c>
      <c r="J32" s="85">
        <f t="shared" ref="J32:N32" si="22">SUM(J12,J19,J22,J27,J31)</f>
        <v>840</v>
      </c>
      <c r="K32" s="85">
        <f t="shared" si="22"/>
        <v>840</v>
      </c>
      <c r="L32" s="85">
        <f t="shared" si="22"/>
        <v>840</v>
      </c>
      <c r="M32" s="85">
        <f t="shared" si="22"/>
        <v>840</v>
      </c>
      <c r="N32" s="85">
        <f t="shared" si="22"/>
        <v>840</v>
      </c>
      <c r="O32" s="60"/>
      <c r="P32" s="59" t="s">
        <v>152</v>
      </c>
      <c r="Q32" s="59">
        <v>144</v>
      </c>
      <c r="R32" s="59">
        <v>154</v>
      </c>
      <c r="S32" s="59">
        <v>144</v>
      </c>
      <c r="T32" s="59">
        <v>144</v>
      </c>
      <c r="U32" s="59">
        <f t="shared" si="20"/>
        <v>586</v>
      </c>
      <c r="V32" s="59">
        <f>U33-U32</f>
        <v>20</v>
      </c>
      <c r="W32" s="40">
        <f>W31</f>
        <v>15.225</v>
      </c>
      <c r="X32" s="40">
        <f t="shared" si="21"/>
        <v>8921.85</v>
      </c>
      <c r="Y32" s="40">
        <f t="shared" ref="Y32:Y42" si="23">X33-X32</f>
        <v>765.8174999999992</v>
      </c>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c r="HL32" s="28"/>
      <c r="HM32" s="28"/>
      <c r="HN32" s="28"/>
      <c r="HO32" s="28"/>
      <c r="HP32" s="28"/>
      <c r="HQ32" s="28"/>
      <c r="HR32" s="28"/>
      <c r="HS32" s="28"/>
      <c r="HT32" s="28"/>
      <c r="HU32" s="28"/>
      <c r="HV32" s="28"/>
      <c r="HW32" s="28"/>
      <c r="HX32" s="28"/>
      <c r="HY32" s="28"/>
      <c r="HZ32" s="28"/>
      <c r="IA32" s="28"/>
      <c r="IB32" s="28"/>
      <c r="IC32" s="28"/>
      <c r="ID32" s="28"/>
      <c r="IE32" s="28"/>
      <c r="IF32" s="28"/>
      <c r="IG32" s="28"/>
      <c r="IH32" s="28"/>
      <c r="II32" s="28"/>
      <c r="IJ32" s="28"/>
      <c r="IK32" s="28"/>
      <c r="IL32" s="28"/>
    </row>
    <row r="33" spans="1:25" x14ac:dyDescent="0.3">
      <c r="A33" s="61"/>
      <c r="B33" s="61"/>
      <c r="C33" s="62"/>
      <c r="D33" s="63"/>
      <c r="E33" s="84" t="s">
        <v>141</v>
      </c>
      <c r="F33" s="82">
        <f>SUM(E32,F32)</f>
        <v>2098.25</v>
      </c>
      <c r="G33" s="61"/>
      <c r="H33" s="61"/>
      <c r="I33" s="65"/>
      <c r="J33" s="65"/>
      <c r="K33" s="65"/>
      <c r="L33" s="65"/>
      <c r="M33" s="65"/>
      <c r="N33" s="65"/>
      <c r="O33" s="60"/>
      <c r="P33" s="60"/>
      <c r="Q33" s="65">
        <v>164</v>
      </c>
      <c r="R33" s="65">
        <v>154</v>
      </c>
      <c r="S33" s="65">
        <v>144</v>
      </c>
      <c r="T33" s="65">
        <v>144</v>
      </c>
      <c r="U33" s="68">
        <f t="shared" si="20"/>
        <v>606</v>
      </c>
      <c r="V33" s="60"/>
      <c r="W33" s="38">
        <f>W31+W31*5%</f>
        <v>15.98625</v>
      </c>
      <c r="X33" s="39">
        <f t="shared" si="21"/>
        <v>9687.6674999999996</v>
      </c>
      <c r="Y33" s="39"/>
    </row>
    <row r="34" spans="1:25" x14ac:dyDescent="0.3">
      <c r="A34" s="61"/>
      <c r="B34" s="61"/>
      <c r="C34" s="62"/>
      <c r="D34" s="63"/>
      <c r="E34" s="76"/>
      <c r="F34" s="67"/>
      <c r="G34" s="61"/>
      <c r="H34" s="61"/>
      <c r="I34" s="65"/>
      <c r="J34" s="65"/>
      <c r="K34" s="65"/>
      <c r="L34" s="65"/>
      <c r="M34" s="65"/>
      <c r="N34" s="65"/>
      <c r="O34" s="60"/>
      <c r="P34" s="104">
        <v>2</v>
      </c>
      <c r="Q34" s="59">
        <v>144</v>
      </c>
      <c r="R34" s="59">
        <v>164</v>
      </c>
      <c r="S34" s="59">
        <v>154</v>
      </c>
      <c r="T34" s="59">
        <v>144</v>
      </c>
      <c r="U34" s="59">
        <f t="shared" si="20"/>
        <v>606</v>
      </c>
      <c r="V34" s="59">
        <f>U35-U34</f>
        <v>30</v>
      </c>
      <c r="W34" s="40">
        <f>W33</f>
        <v>15.98625</v>
      </c>
      <c r="X34" s="40">
        <f t="shared" si="21"/>
        <v>9687.6674999999996</v>
      </c>
      <c r="Y34" s="40">
        <f t="shared" si="23"/>
        <v>987.95025000000169</v>
      </c>
    </row>
    <row r="35" spans="1:25" s="31" customFormat="1" x14ac:dyDescent="0.3">
      <c r="A35" s="48"/>
      <c r="B35" s="54" t="s">
        <v>148</v>
      </c>
      <c r="C35" s="86">
        <f>-E32*1000000</f>
        <v>-1993200000</v>
      </c>
      <c r="D35" s="54"/>
      <c r="E35" s="54"/>
      <c r="F35" s="54"/>
      <c r="G35" s="54"/>
      <c r="H35" s="54"/>
      <c r="I35" s="54"/>
      <c r="J35" s="54"/>
      <c r="K35" s="54"/>
      <c r="L35" s="54"/>
      <c r="M35" s="54"/>
      <c r="N35" s="54"/>
      <c r="O35" s="47"/>
      <c r="P35" s="98"/>
      <c r="Q35" s="60">
        <v>174</v>
      </c>
      <c r="R35" s="60">
        <v>164</v>
      </c>
      <c r="S35" s="60">
        <v>154</v>
      </c>
      <c r="T35" s="60">
        <v>144</v>
      </c>
      <c r="U35" s="68">
        <f t="shared" si="20"/>
        <v>636</v>
      </c>
      <c r="V35" s="60"/>
      <c r="W35" s="99">
        <f>W34+W34*5%</f>
        <v>16.785562500000001</v>
      </c>
      <c r="X35" s="39">
        <f t="shared" si="21"/>
        <v>10675.617750000001</v>
      </c>
      <c r="Y35" s="39"/>
    </row>
    <row r="36" spans="1:25" x14ac:dyDescent="0.3">
      <c r="A36" s="87" t="s">
        <v>78</v>
      </c>
      <c r="B36" s="88" t="s">
        <v>149</v>
      </c>
      <c r="C36" s="89" t="s">
        <v>126</v>
      </c>
      <c r="D36" s="90" t="s">
        <v>135</v>
      </c>
      <c r="E36" s="87" t="s">
        <v>143</v>
      </c>
      <c r="F36" s="71" t="s">
        <v>147</v>
      </c>
      <c r="G36" s="61"/>
      <c r="H36" s="61">
        <f>C35</f>
        <v>-1993200000</v>
      </c>
      <c r="I36" s="65"/>
      <c r="J36" s="91" t="s">
        <v>146</v>
      </c>
      <c r="K36" s="92">
        <v>0.1</v>
      </c>
      <c r="L36" s="65"/>
      <c r="M36" s="65"/>
      <c r="N36" s="60"/>
      <c r="O36" s="65"/>
      <c r="P36" s="104">
        <v>3</v>
      </c>
      <c r="Q36" s="59">
        <v>144</v>
      </c>
      <c r="R36" s="59">
        <v>174</v>
      </c>
      <c r="S36" s="59">
        <v>164</v>
      </c>
      <c r="T36" s="59">
        <v>154</v>
      </c>
      <c r="U36" s="59">
        <f t="shared" si="20"/>
        <v>636</v>
      </c>
      <c r="V36" s="59">
        <f>U37-U36</f>
        <v>40</v>
      </c>
      <c r="W36" s="40">
        <f>W35</f>
        <v>16.785562500000001</v>
      </c>
      <c r="X36" s="40">
        <f t="shared" si="21"/>
        <v>10675.617750000001</v>
      </c>
      <c r="Y36" s="40">
        <f t="shared" si="23"/>
        <v>1238.7745125000001</v>
      </c>
    </row>
    <row r="37" spans="1:25" x14ac:dyDescent="0.3">
      <c r="A37" s="61">
        <v>1</v>
      </c>
      <c r="B37" s="65">
        <f>F32*1000000</f>
        <v>105050000</v>
      </c>
      <c r="C37" s="66">
        <f>Q22*1000000</f>
        <v>619850000.00000036</v>
      </c>
      <c r="D37" s="93">
        <f>C37-B37</f>
        <v>514800000.00000036</v>
      </c>
      <c r="E37" s="65">
        <f>C35+D37</f>
        <v>-1478399999.9999995</v>
      </c>
      <c r="F37" s="93">
        <f>1/((1+$K$36)^A37)</f>
        <v>0.90909090909090906</v>
      </c>
      <c r="G37" s="61">
        <f>D37*F37</f>
        <v>468000000.0000003</v>
      </c>
      <c r="H37" s="61">
        <f>D37</f>
        <v>514800000.00000036</v>
      </c>
      <c r="I37" s="65"/>
      <c r="J37" s="65" t="s">
        <v>84</v>
      </c>
      <c r="K37" s="66">
        <f>(E43/-C35)*100</f>
        <v>111.87109880319655</v>
      </c>
      <c r="L37" s="65"/>
      <c r="M37" s="65"/>
      <c r="N37" s="60"/>
      <c r="O37" s="54"/>
      <c r="P37" s="98"/>
      <c r="Q37" s="60">
        <v>184</v>
      </c>
      <c r="R37" s="60">
        <v>174</v>
      </c>
      <c r="S37" s="60">
        <v>164</v>
      </c>
      <c r="T37" s="60">
        <v>154</v>
      </c>
      <c r="U37" s="68">
        <f t="shared" si="20"/>
        <v>676</v>
      </c>
      <c r="V37" s="60"/>
      <c r="W37" s="38">
        <f>W36+W36*5%</f>
        <v>17.624840625000001</v>
      </c>
      <c r="X37" s="39">
        <f t="shared" si="21"/>
        <v>11914.392262500001</v>
      </c>
      <c r="Y37" s="39"/>
    </row>
    <row r="38" spans="1:25" x14ac:dyDescent="0.3">
      <c r="A38" s="61">
        <v>2</v>
      </c>
      <c r="B38" s="65">
        <f>I32*1000000</f>
        <v>840000000</v>
      </c>
      <c r="C38" s="66">
        <f>R22*1000000</f>
        <v>815817499.99999917</v>
      </c>
      <c r="D38" s="93">
        <f t="shared" ref="D38:D43" si="24">C38-B38</f>
        <v>-24182500.000000834</v>
      </c>
      <c r="E38" s="65">
        <f>E37+D38</f>
        <v>-1502582500.0000005</v>
      </c>
      <c r="F38" s="93">
        <f t="shared" ref="F38:F43" si="25">1/((1+$K$36)^A38)</f>
        <v>0.82644628099173545</v>
      </c>
      <c r="G38" s="61">
        <f>D38*F38</f>
        <v>-19985537.190083332</v>
      </c>
      <c r="H38" s="61">
        <f t="shared" ref="H38:H43" si="26">D38</f>
        <v>-24182500.000000834</v>
      </c>
      <c r="I38" s="65"/>
      <c r="J38" s="65" t="s">
        <v>142</v>
      </c>
      <c r="K38" s="66">
        <f>SUM(G37:G43)+C35</f>
        <v>623658869.60820913</v>
      </c>
      <c r="L38" s="65">
        <f>NPV(K36,D37:D43)+C35</f>
        <v>623658869.60820866</v>
      </c>
      <c r="M38" s="65"/>
      <c r="N38" s="60"/>
      <c r="O38" s="65"/>
      <c r="P38" s="104">
        <v>4</v>
      </c>
      <c r="Q38" s="59">
        <v>144</v>
      </c>
      <c r="R38" s="59">
        <v>184</v>
      </c>
      <c r="S38" s="59">
        <v>174</v>
      </c>
      <c r="T38" s="59">
        <v>164</v>
      </c>
      <c r="U38" s="59">
        <f t="shared" si="20"/>
        <v>666</v>
      </c>
      <c r="V38" s="59">
        <f t="shared" ref="V38:V40" si="27">U39-U38</f>
        <v>50</v>
      </c>
      <c r="W38" s="40">
        <f>W37</f>
        <v>17.624840625000001</v>
      </c>
      <c r="X38" s="40">
        <f t="shared" si="21"/>
        <v>11738.143856250001</v>
      </c>
      <c r="Y38" s="40">
        <f t="shared" si="23"/>
        <v>1512.2113256249995</v>
      </c>
    </row>
    <row r="39" spans="1:25" x14ac:dyDescent="0.3">
      <c r="A39" s="61">
        <v>3</v>
      </c>
      <c r="B39" s="65">
        <f>J32*1000000</f>
        <v>840000000</v>
      </c>
      <c r="C39" s="66">
        <f>S22*1000000</f>
        <v>1037950250.0000017</v>
      </c>
      <c r="D39" s="93">
        <f t="shared" si="24"/>
        <v>197950250.00000167</v>
      </c>
      <c r="E39" s="65">
        <f t="shared" ref="E39:E43" si="28">E38+D39</f>
        <v>-1304632249.9999988</v>
      </c>
      <c r="F39" s="93">
        <f t="shared" si="25"/>
        <v>0.75131480090157754</v>
      </c>
      <c r="G39" s="61">
        <f t="shared" ref="G39:G43" si="29">D39*F39</f>
        <v>148722952.66716877</v>
      </c>
      <c r="H39" s="61">
        <f t="shared" si="26"/>
        <v>197950250.00000167</v>
      </c>
      <c r="I39" s="65"/>
      <c r="J39" s="65" t="s">
        <v>144</v>
      </c>
      <c r="K39" s="94">
        <f>IRR(H36:H43)</f>
        <v>0.1656998633456146</v>
      </c>
      <c r="L39" s="65"/>
      <c r="M39" s="65"/>
      <c r="N39" s="60"/>
      <c r="O39" s="65"/>
      <c r="P39" s="98"/>
      <c r="Q39" s="60">
        <v>194</v>
      </c>
      <c r="R39" s="60">
        <v>184</v>
      </c>
      <c r="S39" s="60">
        <v>174</v>
      </c>
      <c r="T39" s="60">
        <v>164</v>
      </c>
      <c r="U39" s="68">
        <f t="shared" si="20"/>
        <v>716</v>
      </c>
      <c r="V39" s="60"/>
      <c r="W39" s="38">
        <f>W38*5%+W38</f>
        <v>18.506082656250001</v>
      </c>
      <c r="X39" s="39">
        <f t="shared" si="21"/>
        <v>13250.355181875</v>
      </c>
      <c r="Y39" s="39"/>
    </row>
    <row r="40" spans="1:25" x14ac:dyDescent="0.3">
      <c r="A40" s="61">
        <v>4</v>
      </c>
      <c r="B40" s="65">
        <f>K32*1000000</f>
        <v>840000000</v>
      </c>
      <c r="C40" s="66">
        <f>T22*1000000</f>
        <v>1288774512.5000002</v>
      </c>
      <c r="D40" s="93">
        <f t="shared" si="24"/>
        <v>448774512.50000024</v>
      </c>
      <c r="E40" s="65">
        <f t="shared" si="28"/>
        <v>-855857737.49999857</v>
      </c>
      <c r="F40" s="93">
        <f t="shared" si="25"/>
        <v>0.68301345536507052</v>
      </c>
      <c r="G40" s="61">
        <f>D40*F40</f>
        <v>306519030.4624002</v>
      </c>
      <c r="H40" s="61">
        <f t="shared" si="26"/>
        <v>448774512.50000024</v>
      </c>
      <c r="I40" s="65"/>
      <c r="J40" s="65" t="s">
        <v>145</v>
      </c>
      <c r="K40" s="94">
        <f xml:space="preserve"> 5+(-E41)/D42</f>
        <v>5.1310393982755427</v>
      </c>
      <c r="L40" s="65"/>
      <c r="M40" s="65"/>
      <c r="N40" s="60"/>
      <c r="O40" s="65"/>
      <c r="P40" s="104">
        <v>5</v>
      </c>
      <c r="Q40" s="59">
        <v>144</v>
      </c>
      <c r="R40" s="59">
        <v>194</v>
      </c>
      <c r="S40" s="59">
        <v>184</v>
      </c>
      <c r="T40" s="59">
        <v>174</v>
      </c>
      <c r="U40" s="59">
        <f t="shared" si="20"/>
        <v>696</v>
      </c>
      <c r="V40" s="59">
        <f t="shared" si="27"/>
        <v>60</v>
      </c>
      <c r="W40" s="40">
        <f>W39</f>
        <v>18.506082656250001</v>
      </c>
      <c r="X40" s="40">
        <f t="shared" si="21"/>
        <v>12880.233528750001</v>
      </c>
      <c r="Y40" s="40">
        <f t="shared" si="23"/>
        <v>1809.8948837812495</v>
      </c>
    </row>
    <row r="41" spans="1:25" x14ac:dyDescent="0.3">
      <c r="A41" s="61">
        <v>5</v>
      </c>
      <c r="B41" s="65">
        <f>L32*1000000</f>
        <v>840000000</v>
      </c>
      <c r="C41" s="66">
        <f>U22*1000000</f>
        <v>1562211325.6249995</v>
      </c>
      <c r="D41" s="93">
        <f t="shared" si="24"/>
        <v>722211325.62499952</v>
      </c>
      <c r="E41" s="65">
        <f t="shared" si="28"/>
        <v>-133646411.87499905</v>
      </c>
      <c r="F41" s="93">
        <f t="shared" si="25"/>
        <v>0.62092132305915493</v>
      </c>
      <c r="G41" s="61">
        <f t="shared" si="29"/>
        <v>448436411.83538085</v>
      </c>
      <c r="H41" s="61">
        <f t="shared" si="26"/>
        <v>722211325.62499952</v>
      </c>
      <c r="I41" s="65"/>
      <c r="J41" s="65"/>
      <c r="K41" s="61"/>
      <c r="L41" s="65"/>
      <c r="M41" s="65"/>
      <c r="N41" s="60"/>
      <c r="O41" s="65"/>
      <c r="P41" s="98"/>
      <c r="Q41" s="60">
        <v>204</v>
      </c>
      <c r="R41" s="60">
        <v>194</v>
      </c>
      <c r="S41" s="60">
        <v>184</v>
      </c>
      <c r="T41" s="60">
        <v>174</v>
      </c>
      <c r="U41" s="68">
        <f t="shared" si="20"/>
        <v>756</v>
      </c>
      <c r="V41" s="60"/>
      <c r="W41" s="38">
        <f>W40+W40*5%</f>
        <v>19.4313867890625</v>
      </c>
      <c r="X41" s="39">
        <f t="shared" si="21"/>
        <v>14690.12841253125</v>
      </c>
      <c r="Y41" s="39"/>
    </row>
    <row r="42" spans="1:25" x14ac:dyDescent="0.3">
      <c r="A42" s="61">
        <v>6</v>
      </c>
      <c r="B42" s="65">
        <f>M32*1000000</f>
        <v>840000000</v>
      </c>
      <c r="C42" s="66">
        <f>V22*1000000</f>
        <v>1859894883.7812495</v>
      </c>
      <c r="D42" s="93">
        <f t="shared" si="24"/>
        <v>1019894883.7812495</v>
      </c>
      <c r="E42" s="65">
        <f t="shared" si="28"/>
        <v>886248471.90625048</v>
      </c>
      <c r="F42" s="93">
        <f t="shared" si="25"/>
        <v>0.56447393005377722</v>
      </c>
      <c r="G42" s="61">
        <f t="shared" si="29"/>
        <v>575704073.28974223</v>
      </c>
      <c r="H42" s="61">
        <f t="shared" si="26"/>
        <v>1019894883.7812495</v>
      </c>
      <c r="I42" s="65"/>
      <c r="J42" s="65"/>
      <c r="K42" s="65"/>
      <c r="L42" s="65"/>
      <c r="M42" s="65"/>
      <c r="N42" s="60"/>
      <c r="O42" s="65"/>
      <c r="P42" s="104">
        <v>6</v>
      </c>
      <c r="Q42" s="59">
        <v>144</v>
      </c>
      <c r="R42" s="59">
        <v>204</v>
      </c>
      <c r="S42" s="59">
        <v>194</v>
      </c>
      <c r="T42" s="59">
        <v>184</v>
      </c>
      <c r="U42" s="59">
        <f t="shared" si="20"/>
        <v>726</v>
      </c>
      <c r="V42" s="59">
        <f>U43-U42</f>
        <v>70</v>
      </c>
      <c r="W42" s="40">
        <f>W41</f>
        <v>19.4313867890625</v>
      </c>
      <c r="X42" s="40">
        <f t="shared" si="21"/>
        <v>14107.186808859375</v>
      </c>
      <c r="Y42" s="40">
        <f t="shared" si="23"/>
        <v>2133.566269439063</v>
      </c>
    </row>
    <row r="43" spans="1:25" x14ac:dyDescent="0.3">
      <c r="A43" s="61">
        <v>7</v>
      </c>
      <c r="B43" s="65">
        <f>N32*1000000</f>
        <v>840000000</v>
      </c>
      <c r="C43" s="66">
        <f>W22*1000000</f>
        <v>2183566269.4390631</v>
      </c>
      <c r="D43" s="93">
        <f t="shared" si="24"/>
        <v>1343566269.4390631</v>
      </c>
      <c r="E43" s="65">
        <f t="shared" si="28"/>
        <v>2229814741.3453135</v>
      </c>
      <c r="F43" s="93">
        <f t="shared" si="25"/>
        <v>0.51315811823070645</v>
      </c>
      <c r="G43" s="61">
        <f t="shared" si="29"/>
        <v>689461938.54359996</v>
      </c>
      <c r="H43" s="61">
        <f t="shared" si="26"/>
        <v>1343566269.4390631</v>
      </c>
      <c r="I43" s="65"/>
      <c r="J43" s="65"/>
      <c r="K43" s="65"/>
      <c r="L43" s="65"/>
      <c r="M43" s="65"/>
      <c r="N43" s="60"/>
      <c r="O43" s="65"/>
      <c r="P43" s="65"/>
      <c r="Q43" s="65">
        <v>214</v>
      </c>
      <c r="R43" s="65">
        <v>204</v>
      </c>
      <c r="S43" s="65">
        <v>194</v>
      </c>
      <c r="T43" s="65">
        <v>184</v>
      </c>
      <c r="U43" s="68">
        <f t="shared" si="20"/>
        <v>796</v>
      </c>
      <c r="V43" s="60"/>
      <c r="W43" s="66">
        <f>W42*5%+W42</f>
        <v>20.402956128515626</v>
      </c>
      <c r="X43" s="39">
        <f t="shared" si="21"/>
        <v>16240.753078298438</v>
      </c>
      <c r="Y43" s="39"/>
    </row>
    <row r="44" spans="1:25" x14ac:dyDescent="0.3">
      <c r="A44" s="62"/>
      <c r="B44" s="61"/>
      <c r="C44" s="61"/>
      <c r="D44" s="65"/>
      <c r="E44" s="65"/>
      <c r="F44" s="65"/>
      <c r="G44" s="65"/>
      <c r="H44" s="60"/>
      <c r="I44" s="65"/>
      <c r="J44" s="65"/>
      <c r="K44" s="65"/>
      <c r="L44" s="65"/>
      <c r="M44" s="65"/>
      <c r="N44" s="65"/>
      <c r="O44" s="65"/>
      <c r="P44" s="65"/>
      <c r="Q44" s="65"/>
      <c r="R44" s="65"/>
      <c r="S44" s="65"/>
    </row>
    <row r="45" spans="1:25" x14ac:dyDescent="0.3">
      <c r="A45" s="61"/>
      <c r="B45" s="61"/>
      <c r="C45" s="62"/>
      <c r="D45" s="63"/>
      <c r="E45" s="64"/>
      <c r="F45" s="62"/>
      <c r="G45" s="61"/>
      <c r="H45" s="61"/>
      <c r="I45" s="65"/>
      <c r="J45" s="65"/>
      <c r="K45" s="65"/>
      <c r="L45" s="65"/>
      <c r="M45" s="60"/>
      <c r="N45" s="65"/>
      <c r="O45" s="65"/>
      <c r="P45" s="65"/>
      <c r="Q45" s="65"/>
      <c r="R45" s="65"/>
      <c r="S45" s="65"/>
      <c r="T45" s="65"/>
      <c r="U45" s="65"/>
      <c r="V45" s="65"/>
      <c r="W45" s="65"/>
    </row>
    <row r="46" spans="1:25" x14ac:dyDescent="0.3">
      <c r="A46" s="61"/>
      <c r="B46" s="61"/>
      <c r="C46" s="62"/>
      <c r="D46" s="63"/>
      <c r="E46" s="64"/>
      <c r="F46" s="62"/>
      <c r="G46" s="61"/>
      <c r="H46" s="61"/>
      <c r="I46" s="65"/>
      <c r="J46" s="65"/>
      <c r="K46" s="65"/>
      <c r="L46" s="65"/>
      <c r="M46" s="60"/>
      <c r="N46" s="65"/>
      <c r="O46" s="65"/>
      <c r="P46" s="65"/>
      <c r="Q46" s="65"/>
      <c r="R46" s="65"/>
      <c r="S46" s="65"/>
      <c r="T46" s="65"/>
      <c r="U46" s="65"/>
      <c r="V46" s="65"/>
      <c r="W46" s="65"/>
    </row>
    <row r="47" spans="1:25" x14ac:dyDescent="0.3">
      <c r="A47" s="61"/>
      <c r="B47" s="61"/>
      <c r="C47" s="62"/>
      <c r="D47" s="63"/>
      <c r="E47" s="64"/>
      <c r="F47" s="62"/>
      <c r="G47" s="61"/>
      <c r="H47" s="61"/>
      <c r="I47" s="65"/>
      <c r="J47" s="65"/>
      <c r="K47" s="65"/>
      <c r="L47" s="65"/>
      <c r="M47" s="60"/>
      <c r="N47" s="65"/>
      <c r="O47" s="65"/>
      <c r="P47" s="65"/>
      <c r="Q47" s="65"/>
      <c r="R47" s="65"/>
      <c r="S47" s="65"/>
      <c r="T47" s="65"/>
      <c r="U47" s="65"/>
      <c r="V47" s="65"/>
      <c r="W47" s="65"/>
    </row>
    <row r="48" spans="1:25" x14ac:dyDescent="0.3">
      <c r="A48" s="61"/>
      <c r="B48" s="61"/>
      <c r="C48" s="62"/>
      <c r="D48" s="63"/>
      <c r="E48" s="64"/>
      <c r="F48" s="62"/>
      <c r="G48" s="61"/>
      <c r="H48" s="61"/>
      <c r="I48" s="65"/>
      <c r="J48" s="65"/>
      <c r="K48" s="65"/>
      <c r="L48" s="65"/>
      <c r="M48" s="60"/>
      <c r="N48" s="65"/>
      <c r="O48" s="65"/>
      <c r="P48" s="65"/>
      <c r="Q48" s="65"/>
      <c r="R48" s="65"/>
      <c r="S48" s="65"/>
      <c r="T48" s="65"/>
      <c r="U48" s="65"/>
      <c r="V48" s="65"/>
      <c r="W48" s="65"/>
    </row>
    <row r="49" spans="1:23" x14ac:dyDescent="0.3">
      <c r="A49" s="61"/>
      <c r="B49" s="61"/>
      <c r="C49" s="62"/>
      <c r="D49" s="63"/>
      <c r="E49" s="64"/>
      <c r="F49" s="62"/>
      <c r="G49" s="61"/>
      <c r="H49" s="61"/>
      <c r="I49" s="65"/>
      <c r="J49" s="65"/>
      <c r="K49" s="65"/>
      <c r="L49" s="65"/>
      <c r="M49" s="60"/>
      <c r="N49" s="65"/>
      <c r="O49" s="65"/>
      <c r="P49" s="65"/>
      <c r="Q49" s="65"/>
      <c r="R49" s="65"/>
      <c r="S49" s="65"/>
      <c r="T49" s="65"/>
      <c r="U49" s="65"/>
      <c r="V49" s="65"/>
      <c r="W49" s="65"/>
    </row>
    <row r="50" spans="1:23" x14ac:dyDescent="0.3">
      <c r="M50" s="28"/>
      <c r="O50" s="27"/>
    </row>
    <row r="51" spans="1:23" x14ac:dyDescent="0.3">
      <c r="M51" s="28"/>
      <c r="O51" s="27"/>
    </row>
    <row r="55" spans="1:23" x14ac:dyDescent="0.3">
      <c r="F55" s="25" t="s">
        <v>150</v>
      </c>
    </row>
  </sheetData>
  <mergeCells count="1">
    <mergeCell ref="D3:F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Huy Hoang</dc:creator>
  <cp:lastModifiedBy>Hòa Dương</cp:lastModifiedBy>
  <dcterms:created xsi:type="dcterms:W3CDTF">2025-05-06T03:30:06Z</dcterms:created>
  <dcterms:modified xsi:type="dcterms:W3CDTF">2025-06-19T17:50:47Z</dcterms:modified>
</cp:coreProperties>
</file>